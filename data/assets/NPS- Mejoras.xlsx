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ransferencias" sheetId="2" r:id="rId5"/>
  </sheets>
  <definedNames>
    <definedName hidden="1" localSheetId="1" name="_xlnm._FilterDatabase">Transferencias!$A$1:$AH$28</definedName>
  </definedNames>
  <calcPr/>
</workbook>
</file>

<file path=xl/sharedStrings.xml><?xml version="1.0" encoding="utf-8"?>
<sst xmlns="http://schemas.openxmlformats.org/spreadsheetml/2006/main" count="357" uniqueCount="171">
  <si>
    <t>REPORTES DE CALL CENTER / TIENDAS</t>
  </si>
  <si>
    <t>Sep</t>
  </si>
  <si>
    <t>Oct</t>
  </si>
  <si>
    <t>Nov</t>
  </si>
  <si>
    <t>Corte 10 de Diciembre</t>
  </si>
  <si>
    <t>Ene</t>
  </si>
  <si>
    <t>Rank</t>
  </si>
  <si>
    <t>Síntoma</t>
  </si>
  <si>
    <t>Flujo</t>
  </si>
  <si>
    <t>% Error
Agos 2025</t>
  </si>
  <si>
    <t>Descripción del error</t>
  </si>
  <si>
    <t>Evidencia</t>
  </si>
  <si>
    <t>Sistema Operativo</t>
  </si>
  <si>
    <t>Reporte</t>
  </si>
  <si>
    <t>Accion de mejora</t>
  </si>
  <si>
    <t>% Error</t>
  </si>
  <si>
    <t>% Mejora</t>
  </si>
  <si>
    <t>%Mejora Real</t>
  </si>
  <si>
    <t>%Mejora Proyectada</t>
  </si>
  <si>
    <r>
      <rPr>
        <rFont val="Lato"/>
        <b/>
        <color rgb="FF000000"/>
        <sz val="10.0"/>
      </rPr>
      <t>LENTITUD EN EL ACCESO</t>
    </r>
    <r>
      <rPr>
        <rFont val="Lato"/>
        <color rgb="FF000000"/>
        <sz val="10.0"/>
      </rPr>
      <t>/
- Fallas en el login (NPS)</t>
    </r>
  </si>
  <si>
    <t>Login / Lentitud</t>
  </si>
  <si>
    <t>36.80%</t>
  </si>
  <si>
    <r>
      <rPr>
        <rFont val="Lato"/>
        <b val="0"/>
        <color theme="1"/>
        <sz val="10.0"/>
      </rPr>
      <t>Después de ingresa la contraseña para acceder a la aplicación, se muestra una pantalla de carga con la leyenda "</t>
    </r>
    <r>
      <rPr>
        <rFont val="Lato"/>
        <b/>
        <color theme="1"/>
        <sz val="10.0"/>
      </rPr>
      <t>Estableciendo conexión</t>
    </r>
    <r>
      <rPr>
        <rFont val="Lato"/>
        <b val="0"/>
        <color theme="1"/>
        <sz val="10.0"/>
      </rPr>
      <t>" que impide acceder a la aplicación y la pantalla de queda en un ciclo infinito</t>
    </r>
  </si>
  <si>
    <t>Link</t>
  </si>
  <si>
    <t>iOS, Android</t>
  </si>
  <si>
    <t>Call Center, Tiendas</t>
  </si>
  <si>
    <t>v 25.90
*Optimización en el acceso</t>
  </si>
  <si>
    <t>Sin mejora</t>
  </si>
  <si>
    <t>V 25.110
* Bajar el peso App</t>
  </si>
  <si>
    <t>En proceso de expansion y adopción de la versión por parte de nuestros clientes</t>
  </si>
  <si>
    <t>V 26.10.00
*Optimizacion en el login para eliminar cache y se cargue toda la informacion de cero</t>
  </si>
  <si>
    <r>
      <rPr>
        <rFont val="Lato"/>
        <b/>
        <color rgb="FF000000"/>
        <sz val="10.0"/>
      </rPr>
      <t>ERROR AL OBTENER UBICACIÓN</t>
    </r>
    <r>
      <rPr>
        <rFont val="Lato"/>
        <color rgb="FF000000"/>
        <sz val="10.0"/>
      </rPr>
      <t>/
- No funciona bien/falla (NPS)
- Fallas en el login (NPS)</t>
    </r>
  </si>
  <si>
    <t>Geolocalización</t>
  </si>
  <si>
    <t>33.40%</t>
  </si>
  <si>
    <r>
      <rPr>
        <rFont val="Lato"/>
        <color theme="1"/>
        <sz val="10.0"/>
      </rPr>
      <t>Después de ingresa la contraseña para acceder a la aplicación,  de forma intermitente se muestra una pantalla de error con la leyenda "</t>
    </r>
    <r>
      <rPr>
        <rFont val="Lato"/>
        <b/>
        <color theme="1"/>
        <sz val="10.0"/>
      </rPr>
      <t>Tenemos problemas para obtener tu ubicación</t>
    </r>
    <r>
      <rPr>
        <rFont val="Lato"/>
        <color theme="1"/>
        <sz val="10.0"/>
      </rPr>
      <t>", lo que implica que el usuario reintente nuevamente</t>
    </r>
  </si>
  <si>
    <t>Sin cambios</t>
  </si>
  <si>
    <t xml:space="preserve">En análsis y pruebas </t>
  </si>
  <si>
    <t>v 26.10.00
*Recupera datos del usuario para serv. de ubicación.</t>
  </si>
  <si>
    <t>ERROR AL REALIZAR CUALQUIER TIPO DE TRANSFERENCIA</t>
  </si>
  <si>
    <t>Transferencias</t>
  </si>
  <si>
    <t>10.50%</t>
  </si>
  <si>
    <t>Se reportan diferentes errores al realizar cualquier transferencias</t>
  </si>
  <si>
    <t>- - -</t>
  </si>
  <si>
    <t>Call Center</t>
  </si>
  <si>
    <t>v 25.110.00
*Mejora para recuperar los frecuentes del cliente</t>
  </si>
  <si>
    <t xml:space="preserve">
Estrategia para dar claridad en la información, de acuerdo a los casos reportados por clientes.
</t>
  </si>
  <si>
    <t>v 26.10.00
*Optimización, actualización de saldo por cierre de sesión inesperado</t>
  </si>
  <si>
    <t xml:space="preserve">ACTIVACION DE LA APP
- No funciona bien/falla (NPS)
</t>
  </si>
  <si>
    <t>Descarga de Token</t>
  </si>
  <si>
    <t>Clientes comentan que no pueden activar su aplicación</t>
  </si>
  <si>
    <t>En análisis y estrategia para dar claridad a los clientes a traves de Call center</t>
  </si>
  <si>
    <t>v 26.10.00
*Se añadira nuevo mensaje en enrolamiento</t>
  </si>
  <si>
    <t xml:space="preserve">ERROR DE OTP INVÁLIDA
- No funciona bien/falla (NPS)
</t>
  </si>
  <si>
    <t>OTP</t>
  </si>
  <si>
    <t>1.00%</t>
  </si>
  <si>
    <r>
      <rPr>
        <rFont val="Lato"/>
        <color theme="1"/>
        <sz val="10.0"/>
      </rPr>
      <t>Se muestra error de OTP inválida, "</t>
    </r>
    <r>
      <rPr>
        <rFont val="Lato"/>
        <b/>
        <color theme="1"/>
        <sz val="10.0"/>
      </rPr>
      <t>Transacción no disponible en este momento. Intenta de nuevo en 30 segundos</t>
    </r>
    <r>
      <rPr>
        <rFont val="Lato"/>
        <color theme="1"/>
        <sz val="10.0"/>
      </rPr>
      <t>"</t>
    </r>
  </si>
  <si>
    <t xml:space="preserve">En análisis </t>
  </si>
  <si>
    <t>Total</t>
  </si>
  <si>
    <t>#</t>
  </si>
  <si>
    <t>Código de error</t>
  </si>
  <si>
    <t>Mensaje que
muestra la app</t>
  </si>
  <si>
    <t>Evidencias</t>
  </si>
  <si>
    <t>Rangos de
fechas muestreo</t>
  </si>
  <si>
    <t>Total de
errores 409</t>
  </si>
  <si>
    <t>Total de errores por código</t>
  </si>
  <si>
    <t>Porcentaje
de error</t>
  </si>
  <si>
    <t>Plan de atención</t>
  </si>
  <si>
    <t>Tipo de transferencia</t>
  </si>
  <si>
    <t>Responsables</t>
  </si>
  <si>
    <t>AA</t>
  </si>
  <si>
    <t>Fecha de resolución</t>
  </si>
  <si>
    <t>Versión de
la app</t>
  </si>
  <si>
    <t>Pago Cie</t>
  </si>
  <si>
    <t>N/A</t>
  </si>
  <si>
    <t xml:space="preserve">"No se encuentra el convenio ingresado" </t>
  </si>
  <si>
    <t xml:space="preserve">Equipo desarrollo metio un cambio en transferencias, el cual esta pegando en la busqueda de CIE </t>
  </si>
  <si>
    <t>Sergio</t>
  </si>
  <si>
    <t>En pruebas</t>
  </si>
  <si>
    <t>Al tener una gran cantidad de frecuentes a listar, la app no los muestra completos</t>
  </si>
  <si>
    <t>Se actualizo la forma en como se obtenian los frecuentes. La app realiza una paginación cada 31 frecuentes y se detectó que cuando se realizaba una tercer consulta para solicitar más frecuentes, el servicio devolvía la información incompleta.</t>
  </si>
  <si>
    <t>Terceros, Mismo Banco, SPEI</t>
  </si>
  <si>
    <t>Rodri, Sergio</t>
  </si>
  <si>
    <t>En producción</t>
  </si>
  <si>
    <t>25.110.00</t>
  </si>
  <si>
    <t>La cuenta que se ha seleccionado para retirar el dinero y depositar, no tiene la misma divisa</t>
  </si>
  <si>
    <r>
      <rPr>
        <rFont val="Lato"/>
        <b/>
        <color theme="1"/>
      </rPr>
      <t xml:space="preserve">BGE0664
</t>
    </r>
    <r>
      <rPr>
        <rFont val="Lato"/>
        <b val="0"/>
        <color theme="1"/>
      </rPr>
      <t>DIVISA NO COINCIDE CON LA DE LA CUENTA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</si>
  <si>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</si>
  <si>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29/11/2025
06/12/2025</t>
  </si>
  <si>
    <t>3</t>
  </si>
  <si>
    <t>Terceros</t>
  </si>
  <si>
    <t>Análisis</t>
  </si>
  <si>
    <t>TBD</t>
  </si>
  <si>
    <t>El cliente intenta realizar una transferencia con un saldo que no tiene la cuenta de retiro</t>
  </si>
  <si>
    <r>
      <rPr>
        <rFont val="Lato"/>
        <b/>
        <color theme="1"/>
      </rPr>
      <t xml:space="preserve">BGE1320
</t>
    </r>
    <r>
      <rPr>
        <rFont val="Lato"/>
        <b val="0"/>
        <color theme="1"/>
      </rPr>
      <t>EL DISPONIBLE NO CUBRE LA OPERACION, LA CUENTA NO ADMITE SOBREGIRO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</si>
  <si>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</si>
  <si>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Se va a trabajar una mejora para cuando la aplicación se cierre por inactividad, ya que se detectó que cuando pasa esto y se hace nuevamente un login, la app se queda con cache del login anterior y no actualiza los saldos.</t>
  </si>
  <si>
    <t>Terceros, SPEI</t>
  </si>
  <si>
    <t>Rodri</t>
  </si>
  <si>
    <t>25.110.10</t>
  </si>
  <si>
    <t>El cliente ha superado su importe mensual que tiene su cuenta para transferir</t>
  </si>
  <si>
    <r>
      <rPr>
        <rFont val="Lato"/>
        <b/>
        <color theme="1"/>
      </rPr>
      <t xml:space="preserve">CNE0236
</t>
    </r>
    <r>
      <rPr>
        <rFont val="Lato"/>
        <b val="0"/>
        <color theme="1"/>
      </rPr>
      <t>IMPORTE DE TRANSACCION EXCEDE EL LIMITE DEFINIDO PARA ESTA OPERACION</t>
    </r>
  </si>
  <si>
    <r>
      <rPr>
        <rFont val="Lato"/>
        <b/>
        <color theme="1"/>
      </rPr>
      <t xml:space="preserve">El importe de la transferencia supera el límite de dinero mensual que puedes transferir de esta cuenta. Elige otra cuenta o llama a la línea BBVA para más información.
</t>
    </r>
    <r>
      <rPr>
        <rFont val="Lato"/>
        <color theme="1"/>
      </rPr>
      <t>(en pantalla de error)</t>
    </r>
  </si>
  <si>
    <t>1,161</t>
  </si>
  <si>
    <t>Se atendió mostrando un mensaje más claro para el usuario.</t>
  </si>
  <si>
    <t>Rodri, Isra</t>
  </si>
  <si>
    <t>24.90.00</t>
  </si>
  <si>
    <t>El cliente ha superado su importe diario que tiene su cuenta para transferir</t>
  </si>
  <si>
    <r>
      <rPr>
        <rFont val="Lato"/>
        <b/>
        <color theme="1"/>
      </rPr>
      <t xml:space="preserve">CNE0235
</t>
    </r>
    <r>
      <rPr>
        <rFont val="Lato"/>
        <b val="0"/>
        <color theme="1"/>
      </rPr>
      <t>IMPORTE DE TRANSACCION EXCEDE EL LIMITE DEFINIDO PARA ESTA OPERACION</t>
    </r>
  </si>
  <si>
    <r>
      <rPr>
        <rFont val="Lato"/>
        <b/>
        <color theme="1"/>
      </rPr>
      <t xml:space="preserve">El importe de la transferencia supera el límite de dinero diario que puedes transferir de esta cuenta. Elige otra cuenta o llama a la línea BBVA para más información.
</t>
    </r>
    <r>
      <rPr>
        <rFont val="Lato"/>
        <color theme="1"/>
      </rPr>
      <t>(en pantalla de error)</t>
    </r>
  </si>
  <si>
    <t>El cliente ha superado su importe por operación que tiene su cuenta para transferir</t>
  </si>
  <si>
    <r>
      <rPr>
        <rFont val="Lato"/>
        <b/>
        <color theme="1"/>
      </rPr>
      <t xml:space="preserve">CNE0234
</t>
    </r>
    <r>
      <rPr>
        <rFont val="Lato"/>
        <b val="0"/>
        <color theme="1"/>
      </rPr>
      <t>IMPORTE DE TRANSACCION EXCEDE EL LIMITE DEFINIDO PARA ESTA OPERACION</t>
    </r>
  </si>
  <si>
    <r>
      <rPr>
        <rFont val="Lato"/>
        <b/>
        <color theme="1"/>
      </rPr>
      <t xml:space="preserve">El importe de la transferencia supera el límite de dinero por operación que puedes transferir de esta cuenta. Elige otra cuenta o llama a la línea BBVA para más información.
</t>
    </r>
    <r>
      <rPr>
        <rFont val="Lato"/>
        <color theme="1"/>
      </rPr>
      <t>(en pantalla de error)</t>
    </r>
  </si>
  <si>
    <t>2,608</t>
  </si>
  <si>
    <t>La cuenta cargo está bloqueada, el cliente deberá solicitar a su ejecutivo el desbloqueo de su cuenta</t>
  </si>
  <si>
    <r>
      <rPr>
        <rFont val="Lato"/>
        <b/>
        <color theme="1"/>
      </rPr>
      <t xml:space="preserve">BLE0209
</t>
    </r>
    <r>
      <rPr>
        <rFont val="Lato"/>
        <b val="0"/>
        <color theme="1"/>
      </rPr>
      <t>CLAVE DE OPERACION BLOQUEADA. ERROR EN CGO/ABO.  NUM.AUT. FOLIO:6</t>
    </r>
  </si>
  <si>
    <r>
      <rPr>
        <rFont val="Lato"/>
        <b/>
        <color theme="1"/>
      </rPr>
      <t xml:space="preserve">Verifica tu cuenta con la que intentas transferir o ponte en contacto con tu ejecutivo de cuenta
</t>
    </r>
    <r>
      <rPr>
        <rFont val="Lato"/>
        <color theme="1"/>
      </rPr>
      <t>(en pantalla de error)</t>
    </r>
  </si>
  <si>
    <t>Operación detenida por prevención de fraude</t>
  </si>
  <si>
    <r>
      <rPr>
        <rFont val="Lato"/>
        <b/>
        <color theme="1"/>
      </rPr>
      <t xml:space="preserve">NLE0023
</t>
    </r>
    <r>
      <rPr>
        <rFont val="Lato"/>
        <b val="0"/>
        <color theme="1"/>
      </rPr>
      <t>ES NECESARIO QUE CONFIRMES ESTA OPERACION LLAMANDO A LINEA BBVA. PF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</si>
  <si>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</si>
  <si>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La cuenta registrada no existe</t>
  </si>
  <si>
    <r>
      <rPr>
        <rFont val="Lato"/>
        <b/>
        <color theme="1"/>
      </rPr>
      <t xml:space="preserve">CNE0027
</t>
    </r>
    <r>
      <rPr>
        <rFont val="Lato"/>
        <b val="0"/>
        <color theme="1"/>
      </rPr>
      <t>CLIENTE NO REGISTRADO O MONOPRODUCTO, SI DESEA CONTINUECON ELALTA</t>
    </r>
  </si>
  <si>
    <r>
      <rPr>
        <rFont val="Lato"/>
        <b/>
        <color theme="1"/>
      </rPr>
      <t xml:space="preserve">Para continuar con la operación, primero necesitas eliminar al destinatario y registrarlo de nuevo. Te recomendamos hacerlo para evitar retrasos en tu operativa.
</t>
    </r>
    <r>
      <rPr>
        <rFont val="Lato"/>
        <color theme="1"/>
      </rPr>
      <t>(en media modal de alerta)</t>
    </r>
  </si>
  <si>
    <t>Se atendió mostrando una modal de error para invitar al usuario a eliminar su contacto ya que este fue dado de alta con errores.</t>
  </si>
  <si>
    <t>24.110.00</t>
  </si>
  <si>
    <t>El error se presenta a partir de las 6pm y va relacionado al cambio de día de SPEI</t>
  </si>
  <si>
    <r>
      <rPr>
        <rFont val="Lato"/>
        <b/>
        <color theme="1"/>
      </rPr>
      <t xml:space="preserve">FEE9801
</t>
    </r>
    <r>
      <rPr>
        <rFont val="Lato"/>
        <b val="0"/>
        <color theme="1"/>
      </rPr>
      <t>SERVICIO NO DISPONIBLE TEMPORALMENTE</t>
    </r>
  </si>
  <si>
    <r>
      <rPr>
        <rFont val="Lato"/>
        <b/>
        <color theme="1"/>
      </rPr>
      <t xml:space="preserve">Estamos en proceso de actualización. Realiza tu operación SPEI dentro de 15 minutos.
</t>
    </r>
    <r>
      <rPr>
        <rFont val="Lato"/>
        <color theme="1"/>
      </rPr>
      <t>(en pantalla de error)</t>
    </r>
  </si>
  <si>
    <t>SPEI</t>
  </si>
  <si>
    <t>El cliente debe actualizar sus datos personales como RFC y/o CURP desde sucursal</t>
  </si>
  <si>
    <r>
      <rPr>
        <rFont val="Lato"/>
        <b/>
        <color theme="1"/>
      </rPr>
      <t xml:space="preserve">FEE0479
</t>
    </r>
    <r>
      <rPr>
        <rFont val="Lato"/>
        <b val="0"/>
        <color theme="1"/>
      </rPr>
      <t>ACUDE A UNA SUCURSAL PARA ACTUALIZAR TU RFC Y/O CURP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</si>
  <si>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</si>
  <si>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El número de TDC no coincide o no existe, este error se puede dar si se coloca un dígito incorrecto</t>
  </si>
  <si>
    <r>
      <rPr>
        <rFont val="Lato"/>
        <b/>
        <color theme="1"/>
      </rPr>
      <t xml:space="preserve">MPE1279
</t>
    </r>
    <r>
      <rPr>
        <rFont val="Lato"/>
        <b val="0"/>
        <color theme="1"/>
      </rPr>
      <t>NUMERO DE BIN NO EXISTE</t>
    </r>
  </si>
  <si>
    <r>
      <rPr>
        <rFont val="Lato"/>
        <b/>
        <color theme="1"/>
      </rPr>
      <t xml:space="preserve">Para continuar con la operación, primero necesitas eliminar al destinatario y registrarlo de nuevo. Te recomendamos hacerlo para evitar retrasos en tu operativa.
</t>
    </r>
    <r>
      <rPr>
        <rFont val="Lato"/>
        <color theme="1"/>
      </rPr>
      <t>(en media modal de alerta)</t>
    </r>
  </si>
  <si>
    <t>Se busca mostrar una modal de error para invitar al usuario a eliminar su contacto ya que este fue dado de alta con errores.</t>
  </si>
  <si>
    <t>El cliente intenta hacer una transferencia con un monto mayor al que dispone en su cuenta de retiro</t>
  </si>
  <si>
    <r>
      <rPr>
        <rFont val="Lato"/>
        <b/>
        <color theme="1"/>
      </rPr>
      <t xml:space="preserve">BGE0515
</t>
    </r>
    <r>
      <rPr>
        <rFont val="Lato"/>
        <b val="0"/>
        <color theme="1"/>
      </rPr>
      <t>DISPONIBLE INSUFICIENTE: ERROR EN CGO/ABO AUT. FOLIO:8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</si>
  <si>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</si>
  <si>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Se atendió agregando una validación en el campo del importe, que impide seleccionar un monto mayor al disponible de la cuenta.</t>
  </si>
  <si>
    <t>25.70.00</t>
  </si>
  <si>
    <t>Clientes realizan operaciones en punto de la media noche</t>
  </si>
  <si>
    <r>
      <rPr>
        <rFont val="Lato"/>
        <b/>
        <color theme="1"/>
      </rPr>
      <t xml:space="preserve">FEE0250
</t>
    </r>
    <r>
      <rPr>
        <rFont val="Lato"/>
        <b val="0"/>
        <color theme="1"/>
      </rPr>
      <t>OPERACION FUERA DE HORARIO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</si>
  <si>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</si>
  <si>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El cliente registra un contacto frecuente que no es de BBVA, sin embargo en el campo para seleccionar el banco, ingresa BBVA</t>
  </si>
  <si>
    <r>
      <rPr>
        <rFont val="Lato"/>
        <b/>
        <color theme="1"/>
      </rPr>
      <t xml:space="preserve">FEE0520
</t>
    </r>
    <r>
      <rPr>
        <rFont val="Lato"/>
        <b val="0"/>
        <color theme="1"/>
      </rPr>
      <t>ERROR CAMPO ENTIDAD DESTINO NO PUEDE SER BANCOMER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</si>
  <si>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</si>
  <si>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Se agrega mejora para bloquear la selección de banco BBVA, cuando se detecta que el contacto no pertenerce a BBVA.</t>
  </si>
  <si>
    <t>El cliente dio de alta su destinatario con errores</t>
  </si>
  <si>
    <r>
      <rPr>
        <rFont val="Lato"/>
        <b/>
        <color theme="1"/>
      </rPr>
      <t xml:space="preserve">FEE0215
</t>
    </r>
    <r>
      <rPr>
        <rFont val="Lato"/>
        <b val="0"/>
        <color theme="1"/>
      </rPr>
      <t>BANCO ERRONEO EN CLABE DESTINO</t>
    </r>
  </si>
  <si>
    <r>
      <rPr>
        <rFont val="Lato"/>
        <b/>
        <color theme="1"/>
      </rPr>
      <t xml:space="preserve">Para continuar con la operación, primero necesitas eliminar al destinatario y registrarlo de nuevo. Te recomendamos hacerlo para evitar retrasos en tu operativa.
</t>
    </r>
    <r>
      <rPr>
        <rFont val="Lato"/>
        <color theme="1"/>
      </rPr>
      <t>(en media modal de alerta)</t>
    </r>
  </si>
  <si>
    <r>
      <rPr>
        <rFont val="Lato"/>
        <b/>
        <color theme="1"/>
      </rPr>
      <t xml:space="preserve">FEE0414
</t>
    </r>
    <r>
      <rPr>
        <rFont val="Lato"/>
        <b val="0"/>
        <color theme="1"/>
      </rPr>
      <t>DIGITO VERIFICADOR DE LA CUENTA DIG.VERIFI.C NO VALIDO</t>
    </r>
  </si>
  <si>
    <r>
      <rPr>
        <rFont val="Lato"/>
        <b/>
        <color theme="1"/>
      </rPr>
      <t xml:space="preserve">Para continuar con la operación, primero necesitas eliminar al destinatario y registrarlo de nuevo. Te recomendamos hacerlo para evitar retrasos en tu operativa.
</t>
    </r>
    <r>
      <rPr>
        <rFont val="Lato"/>
        <color theme="1"/>
      </rPr>
      <t>(en media modal de alerta)</t>
    </r>
  </si>
  <si>
    <t>La sucursal del cliente cambio por tanto, se actualiza su cuenta CLABE</t>
  </si>
  <si>
    <r>
      <rPr>
        <rFont val="Lato"/>
        <b/>
        <color theme="1"/>
      </rPr>
      <t xml:space="preserve">FEE0413
</t>
    </r>
    <r>
      <rPr>
        <rFont val="Lato"/>
        <b val="0"/>
        <color theme="1"/>
      </rPr>
      <t>REGISTRO DE PLAZA REG.PLZA.N FOLIO:58138 NO ENCONTRADO</t>
    </r>
  </si>
  <si>
    <r>
      <rPr>
        <rFont val="Lato"/>
        <b/>
        <color theme="1"/>
      </rPr>
      <t xml:space="preserve">El destinatario al que quieres transferir se encuentra mal registrado. Llama a Línea BBVA para más información.
</t>
    </r>
    <r>
      <rPr>
        <rFont val="Lato"/>
        <color theme="1"/>
      </rPr>
      <t>(en pantalla de error)</t>
    </r>
  </si>
  <si>
    <r>
      <rPr>
        <rFont val="Lato"/>
        <b/>
        <color theme="1"/>
      </rPr>
      <t xml:space="preserve">FEE9800
</t>
    </r>
    <r>
      <rPr>
        <rFont val="Lato"/>
        <b val="0"/>
        <color theme="1"/>
      </rPr>
      <t>IMPORTE DE OPERACION EXCEDE EL PERMITIDO EN HORARIO DE IMPOR A 06:00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</si>
  <si>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</si>
  <si>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CNE0015
</t>
    </r>
    <r>
      <rPr>
        <rFont val="Lato"/>
        <b val="0"/>
        <color theme="1"/>
      </rPr>
      <t>OPERACION INVALIDA (R88) NO PERMITIDA POR SITUACION PR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</si>
  <si>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</si>
  <si>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KNE6969
</t>
    </r>
    <r>
      <rPr>
        <rFont val="Lato"/>
        <b val="0"/>
        <color theme="1"/>
      </rPr>
      <t>ERROR EN PERTENENCIA VALIDACION ASUNTO VISTA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</si>
  <si>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</si>
  <si>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CNE9998
</t>
    </r>
    <r>
      <rPr>
        <rFont val="Lato"/>
        <b val="0"/>
        <color theme="1"/>
      </rPr>
      <t>ERROR CICS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</si>
  <si>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</si>
  <si>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MPE1100
</t>
    </r>
    <r>
      <rPr>
        <rFont val="Lato"/>
        <b val="0"/>
        <color theme="1"/>
      </rPr>
      <t>BCF-CTAORIG-CA  MA7CIPCA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</si>
  <si>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</si>
  <si>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01211000
</t>
    </r>
    <r>
      <rPr>
        <rFont val="Lato"/>
        <b val="0"/>
        <color theme="1"/>
      </rPr>
      <t>ERROR TECNICO QWPO01211032 EN LA TRANSACCION KFULT00901es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</si>
  <si>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</si>
  <si>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r>
      <rPr>
        <rFont val="Lato"/>
        <b/>
        <color theme="1"/>
      </rPr>
      <t xml:space="preserve">01211008
</t>
    </r>
    <r>
      <rPr>
        <rFont val="Lato"/>
        <b val="0"/>
        <color theme="1"/>
      </rPr>
      <t>EL USUARIO NO TIENE PERMISOS PARA EJECUTAR LA TRANSACCION</t>
    </r>
  </si>
  <si>
    <r>
      <rPr>
        <rFont val="Lato"/>
        <b/>
        <color rgb="FF3C78D8"/>
      </rPr>
      <t xml:space="preserve">Mismo mensaje que devuelve el servicio
</t>
    </r>
    <r>
      <rPr>
        <rFont val="Lato"/>
        <b val="0"/>
        <color rgb="FF3C78D8"/>
      </rPr>
      <t>(en pantalla de error)</t>
    </r>
  </si>
  <si>
    <t>? 7948927c-8ea4-48e0-ac18-aa5e2e840b27
bbva.ctinfr01.infraestructura//com.bbva.infrastructure.globalUsersManagement.arch.sign.impl.GlobalUsersManagementArchitectureSignUtilities.getUserOrderInformation(GlobalUsersManagementArchitectureSignUtilities.java:188)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</si>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</sst>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.yy"/>
  </numFmts>
  <fonts count="27">
    <font>
      <sz val="10.0"/>
      <color rgb="FF000000"/>
      <name val="Arial"/>
      <scheme val="minor"/>
    </font>
    <font>
      <b/>
      <sz val="12.0"/>
      <color rgb="FFF7F8F8"/>
      <name val="Source Serif 4"/>
    </font>
    <font>
      <b/>
      <color rgb="FFFFFFFF"/>
      <name val="Arial"/>
      <scheme val="minor"/>
    </font>
    <font>
      <b/>
      <color rgb="FFFFFFFF"/>
      <name val="Source Serif 4"/>
    </font>
    <font>
      <b/>
      <sz val="12.0"/>
      <color rgb="FFFFFFFF"/>
      <name val="Arial"/>
      <scheme val="minor"/>
    </font>
    <font>
      <b/>
      <sz val="12.0"/>
      <color rgb="FFFFFFFF"/>
      <name val="Source Serif 4"/>
    </font>
    <font>
      <color theme="1"/>
      <name val="Arial"/>
      <scheme val="minor"/>
    </font>
    <font>
      <b/>
      <color rgb="FFF7F8F8"/>
      <name val="Source Serif 4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rgb="FFFFFFFF"/>
      <name val="Source Serif 4"/>
    </font>
    <font>
      <b/>
      <sz val="10.0"/>
      <color theme="1"/>
      <name val="Lato"/>
    </font>
    <font>
      <sz val="10.0"/>
      <color rgb="FF000000"/>
      <name val="Lato"/>
    </font>
    <font>
      <color theme="1"/>
      <name val="Lato"/>
    </font>
    <font>
      <b/>
      <u/>
      <sz val="10.0"/>
      <color rgb="FF001391"/>
      <name val="Lato"/>
    </font>
    <font>
      <sz val="10.0"/>
      <color theme="1"/>
      <name val="Lato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color rgb="FF001391"/>
      <name val="Source Serif 4"/>
    </font>
    <font>
      <b/>
      <color theme="1"/>
      <name val="Lato"/>
    </font>
    <font>
      <b/>
      <color rgb="FF3C78D8"/>
      <name val="Lato"/>
    </font>
    <font>
      <b/>
      <u/>
      <color rgb="FF001391"/>
      <name val="Lato"/>
    </font>
    <font>
      <color rgb="FF000000"/>
      <name val="Lato"/>
    </font>
    <font>
      <color rgb="FF1F1F1F"/>
      <name val="Lato"/>
    </font>
    <font>
      <b/>
      <u/>
      <color rgb="FF001391"/>
      <name val="Lato"/>
    </font>
    <font>
      <b/>
      <color rgb="FF001391"/>
      <name val="Lato"/>
    </font>
  </fonts>
  <fills count="12">
    <fill>
      <patternFill patternType="none"/>
    </fill>
    <fill>
      <patternFill patternType="lightGray"/>
    </fill>
    <fill>
      <patternFill patternType="solid">
        <fgColor rgb="FF001391"/>
        <bgColor rgb="FF001391"/>
      </patternFill>
    </fill>
    <fill>
      <patternFill patternType="solid">
        <fgColor rgb="FF4A86E8"/>
        <bgColor rgb="FF4A86E8"/>
      </patternFill>
    </fill>
    <fill>
      <patternFill patternType="solid">
        <fgColor rgb="FF85C8FF"/>
        <bgColor rgb="FF85C8FF"/>
      </patternFill>
    </fill>
    <fill>
      <patternFill patternType="solid">
        <fgColor rgb="FFFFE761"/>
        <bgColor rgb="FFFFE761"/>
      </patternFill>
    </fill>
    <fill>
      <patternFill patternType="solid">
        <fgColor rgb="FF88E783"/>
        <bgColor rgb="FF88E783"/>
      </patternFill>
    </fill>
    <fill>
      <patternFill patternType="solid">
        <fgColor theme="9"/>
        <bgColor theme="9"/>
      </patternFill>
    </fill>
    <fill>
      <patternFill patternType="solid">
        <fgColor rgb="FFFFB56B"/>
        <bgColor rgb="FFFFB56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14">
    <border/>
    <border>
      <left style="thin">
        <color rgb="FF001391"/>
      </left>
      <right style="thin">
        <color rgb="FF85C8FF"/>
      </right>
      <top style="thin">
        <color rgb="FF001391"/>
      </top>
      <bottom style="thin">
        <color rgb="FF001391"/>
      </bottom>
    </border>
    <border>
      <left style="thin">
        <color rgb="FF85C8FF"/>
      </left>
      <right style="thin">
        <color rgb="FF001391"/>
      </right>
      <top style="thin">
        <color rgb="FF001391"/>
      </top>
      <bottom style="thin">
        <color rgb="FF001391"/>
      </bottom>
    </border>
    <border>
      <left style="thin">
        <color rgb="FF001391"/>
      </left>
      <right style="thin">
        <color rgb="FF001391"/>
      </right>
      <top style="thin">
        <color rgb="FF001391"/>
      </top>
      <bottom style="thin">
        <color rgb="FF001391"/>
      </bottom>
    </border>
    <border>
      <left style="thin">
        <color rgb="FF001391"/>
      </left>
      <top style="thin">
        <color rgb="FF001391"/>
      </top>
      <bottom style="thin">
        <color rgb="FF0013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1391"/>
      </left>
      <right style="thin">
        <color rgb="FFFFE761"/>
      </right>
      <top style="thin">
        <color rgb="FF001391"/>
      </top>
      <bottom style="thin">
        <color rgb="FF001391"/>
      </bottom>
    </border>
    <border>
      <left style="thin">
        <color rgb="FFFFE761"/>
      </left>
      <right style="thin">
        <color rgb="FF001391"/>
      </right>
      <top style="thin">
        <color rgb="FF001391"/>
      </top>
      <bottom style="thin">
        <color rgb="FF001391"/>
      </bottom>
    </border>
    <border>
      <left style="thin">
        <color rgb="FF001391"/>
      </left>
      <right style="thin">
        <color rgb="FF88E783"/>
      </right>
      <top style="thin">
        <color rgb="FF001391"/>
      </top>
      <bottom style="thin">
        <color rgb="FF001391"/>
      </bottom>
    </border>
    <border>
      <left style="thin">
        <color rgb="FF88E783"/>
      </left>
      <right style="thin">
        <color rgb="FF001391"/>
      </right>
      <top style="thin">
        <color rgb="FF001391"/>
      </top>
      <bottom style="thin">
        <color rgb="FF001391"/>
      </bottom>
    </border>
    <border>
      <top style="thin">
        <color rgb="FF001391"/>
      </top>
      <bottom style="thin">
        <color rgb="FF001391"/>
      </bottom>
    </border>
    <border>
      <left style="thin">
        <color rgb="FF001391"/>
      </left>
      <right style="thin">
        <color rgb="FFFFB56B"/>
      </right>
      <top style="thin">
        <color rgb="FF001391"/>
      </top>
      <bottom style="thin">
        <color rgb="FF001391"/>
      </bottom>
    </border>
    <border>
      <left style="thin">
        <color rgb="FFFFB56B"/>
      </left>
      <right style="thin">
        <color rgb="FF88E783"/>
      </right>
      <top style="thin">
        <color rgb="FF001391"/>
      </top>
      <bottom style="thin">
        <color rgb="FF001391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2" fillId="4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5" fillId="0" fontId="6" numFmtId="10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17" numFmtId="10" xfId="0" applyAlignment="1" applyBorder="1" applyFont="1" applyNumberForma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6" fillId="5" fontId="11" numFmtId="0" xfId="0" applyAlignment="1" applyBorder="1" applyFill="1" applyFont="1">
      <alignment horizontal="center" readingOrder="0" shrinkToFit="0" vertical="center" wrapText="1"/>
    </xf>
    <xf borderId="7" fillId="5" fontId="12" numFmtId="0" xfId="0" applyAlignment="1" applyBorder="1" applyFont="1">
      <alignment horizontal="left" readingOrder="0"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11" numFmtId="9" xfId="0" applyAlignment="1" applyBorder="1" applyFont="1" applyNumberFormat="1">
      <alignment horizontal="center" readingOrder="0" shrinkToFit="0" vertical="center" wrapText="1"/>
    </xf>
    <xf borderId="4" fillId="0" fontId="11" numFmtId="10" xfId="0" applyAlignment="1" applyBorder="1" applyFont="1" applyNumberFormat="1">
      <alignment horizontal="center" readingOrder="0" shrinkToFit="0" vertical="center" wrapText="1"/>
    </xf>
    <xf borderId="8" fillId="6" fontId="11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ont="1">
      <alignment horizontal="left" readingOrder="0" shrinkToFit="0" vertical="center" wrapText="1"/>
    </xf>
    <xf borderId="5" fillId="0" fontId="11" numFmtId="10" xfId="0" applyAlignment="1" applyBorder="1" applyFont="1" applyNumberFormat="1">
      <alignment horizontal="center" readingOrder="0" shrinkToFit="0" vertical="center" wrapText="1"/>
    </xf>
    <xf borderId="5" fillId="0" fontId="18" numFmtId="9" xfId="0" applyAlignment="1" applyBorder="1" applyFont="1" applyNumberFormat="1">
      <alignment horizontal="center" readingOrder="0" shrinkToFit="0" vertical="center" wrapText="1"/>
    </xf>
    <xf borderId="4" fillId="7" fontId="11" numFmtId="0" xfId="0" applyAlignment="1" applyBorder="1" applyFill="1" applyFont="1">
      <alignment horizontal="center" readingOrder="0" shrinkToFit="0" vertical="center" wrapText="1"/>
    </xf>
    <xf borderId="10" fillId="7" fontId="15" numFmtId="0" xfId="0" applyAlignment="1" applyBorder="1" applyFont="1">
      <alignment horizontal="left" readingOrder="0" shrinkToFit="0" vertical="center" wrapText="1"/>
    </xf>
    <xf borderId="3" fillId="0" fontId="11" numFmtId="10" xfId="0" applyAlignment="1" applyBorder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8" numFmtId="10" xfId="0" applyAlignment="1" applyBorder="1" applyFont="1" applyNumberFormat="1">
      <alignment horizontal="center" readingOrder="0" shrinkToFit="0" vertical="center" wrapText="1"/>
    </xf>
    <xf borderId="11" fillId="8" fontId="11" numFmtId="0" xfId="0" applyAlignment="1" applyBorder="1" applyFill="1" applyFont="1">
      <alignment horizontal="center" readingOrder="0" shrinkToFit="0" vertical="center" wrapText="1"/>
    </xf>
    <xf borderId="12" fillId="8" fontId="15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18" numFmtId="9" xfId="0" applyAlignment="1" applyFont="1" applyNumberFormat="1">
      <alignment horizontal="center" readingOrder="0" shrinkToFit="0" wrapText="1"/>
    </xf>
    <xf borderId="0" fillId="0" fontId="18" numFmtId="10" xfId="0" applyAlignment="1" applyFont="1" applyNumberFormat="1">
      <alignment horizontal="center" readingOrder="0" shrinkToFit="0" wrapText="1"/>
    </xf>
    <xf borderId="0" fillId="4" fontId="19" numFmtId="0" xfId="0" applyAlignment="1" applyFont="1">
      <alignment horizontal="center" readingOrder="0"/>
    </xf>
    <xf borderId="0" fillId="4" fontId="19" numFmtId="0" xfId="0" applyAlignment="1" applyFont="1">
      <alignment readingOrder="0" shrinkToFit="0" vertical="bottom" wrapText="1"/>
    </xf>
    <xf borderId="0" fillId="4" fontId="19" numFmtId="0" xfId="0" applyAlignment="1" applyFont="1">
      <alignment readingOrder="0" vertical="bottom"/>
    </xf>
    <xf borderId="0" fillId="4" fontId="19" numFmtId="0" xfId="0" applyAlignment="1" applyFont="1">
      <alignment readingOrder="0" shrinkToFit="0" wrapText="1"/>
    </xf>
    <xf borderId="0" fillId="4" fontId="19" numFmtId="0" xfId="0" applyAlignment="1" applyFont="1">
      <alignment readingOrder="0"/>
    </xf>
    <xf borderId="0" fillId="6" fontId="20" numFmtId="0" xfId="0" applyAlignment="1" applyFont="1">
      <alignment horizontal="center" readingOrder="0" vertical="center"/>
    </xf>
    <xf borderId="0" fillId="9" fontId="13" numFmtId="0" xfId="0" applyAlignment="1" applyFill="1" applyFont="1">
      <alignment horizontal="left" readingOrder="0" shrinkToFit="0" vertical="center" wrapText="1"/>
    </xf>
    <xf borderId="0" fillId="9" fontId="13" numFmtId="0" xfId="0" applyAlignment="1" applyFont="1">
      <alignment horizontal="center" readingOrder="0" shrinkToFit="0" vertical="center" wrapText="1"/>
    </xf>
    <xf borderId="0" fillId="9" fontId="13" numFmtId="0" xfId="0" applyAlignment="1" applyFont="1">
      <alignment readingOrder="0" shrinkToFit="0" vertical="center" wrapText="1"/>
    </xf>
    <xf borderId="0" fillId="9" fontId="15" numFmtId="0" xfId="0" applyAlignment="1" applyFont="1">
      <alignment horizontal="center" readingOrder="0" shrinkToFit="0" vertical="center" wrapText="1"/>
    </xf>
    <xf borderId="0" fillId="9" fontId="15" numFmtId="164" xfId="0" applyAlignment="1" applyFont="1" applyNumberFormat="1">
      <alignment horizontal="right" readingOrder="0" shrinkToFit="0" vertical="center" wrapText="1"/>
    </xf>
    <xf borderId="0" fillId="9" fontId="6" numFmtId="0" xfId="0" applyAlignment="1" applyFont="1">
      <alignment horizontal="right" readingOrder="0" vertical="center"/>
    </xf>
    <xf borderId="13" fillId="6" fontId="20" numFmtId="0" xfId="0" applyAlignment="1" applyBorder="1" applyFont="1">
      <alignment horizontal="center" readingOrder="0" vertical="center"/>
    </xf>
    <xf borderId="13" fillId="9" fontId="13" numFmtId="0" xfId="0" applyAlignment="1" applyBorder="1" applyFont="1">
      <alignment horizontal="left" readingOrder="0" shrinkToFit="0" vertical="center" wrapText="1"/>
    </xf>
    <xf borderId="13" fillId="9" fontId="13" numFmtId="0" xfId="0" applyAlignment="1" applyBorder="1" applyFont="1">
      <alignment horizontal="center" readingOrder="0" shrinkToFit="0" vertical="center" wrapText="1"/>
    </xf>
    <xf borderId="13" fillId="9" fontId="13" numFmtId="0" xfId="0" applyAlignment="1" applyBorder="1" applyFont="1">
      <alignment readingOrder="0" shrinkToFit="0" vertical="center" wrapText="1"/>
    </xf>
    <xf borderId="13" fillId="9" fontId="15" numFmtId="0" xfId="0" applyAlignment="1" applyBorder="1" applyFont="1">
      <alignment horizontal="center" readingOrder="0" shrinkToFit="0" vertical="center" wrapText="1"/>
    </xf>
    <xf borderId="13" fillId="9" fontId="15" numFmtId="164" xfId="0" applyAlignment="1" applyBorder="1" applyFont="1" applyNumberFormat="1">
      <alignment horizontal="right" readingOrder="0" shrinkToFit="0" vertical="center" wrapText="1"/>
    </xf>
    <xf borderId="13" fillId="9" fontId="6" numFmtId="0" xfId="0" applyAlignment="1" applyBorder="1" applyFont="1">
      <alignment horizontal="right" readingOrder="0" vertical="center"/>
    </xf>
    <xf borderId="13" fillId="10" fontId="13" numFmtId="0" xfId="0" applyAlignment="1" applyBorder="1" applyFill="1" applyFont="1">
      <alignment horizontal="left" readingOrder="0" shrinkToFit="0" vertical="center" wrapText="1"/>
    </xf>
    <xf borderId="13" fillId="10" fontId="20" numFmtId="0" xfId="0" applyAlignment="1" applyBorder="1" applyFont="1">
      <alignment horizontal="left" readingOrder="0" shrinkToFit="0" vertical="center" wrapText="1"/>
    </xf>
    <xf borderId="13" fillId="10" fontId="21" numFmtId="0" xfId="0" applyAlignment="1" applyBorder="1" applyFont="1">
      <alignment horizontal="left" readingOrder="0" shrinkToFit="0" vertical="center" wrapText="1"/>
    </xf>
    <xf borderId="13" fillId="10" fontId="22" numFmtId="0" xfId="0" applyAlignment="1" applyBorder="1" applyFont="1">
      <alignment horizontal="center" readingOrder="0" shrinkToFit="0" vertical="center" wrapText="1"/>
    </xf>
    <xf borderId="13" fillId="10" fontId="23" numFmtId="0" xfId="0" applyAlignment="1" applyBorder="1" applyFont="1">
      <alignment horizontal="center" readingOrder="0" shrinkToFit="0" vertical="center" wrapText="1"/>
    </xf>
    <xf borderId="13" fillId="10" fontId="23" numFmtId="3" xfId="0" applyAlignment="1" applyBorder="1" applyFont="1" applyNumberFormat="1">
      <alignment horizontal="center" readingOrder="0" shrinkToFit="0" vertical="center" wrapText="1"/>
    </xf>
    <xf borderId="13" fillId="10" fontId="24" numFmtId="10" xfId="0" applyAlignment="1" applyBorder="1" applyFont="1" applyNumberFormat="1">
      <alignment horizontal="center" readingOrder="0" vertical="center"/>
    </xf>
    <xf borderId="13" fillId="10" fontId="13" numFmtId="0" xfId="0" applyAlignment="1" applyBorder="1" applyFont="1">
      <alignment readingOrder="0" shrinkToFit="0" vertical="center" wrapText="1"/>
    </xf>
    <xf borderId="13" fillId="10" fontId="15" numFmtId="0" xfId="0" applyAlignment="1" applyBorder="1" applyFont="1">
      <alignment horizontal="center" readingOrder="0" shrinkToFit="0" vertical="center" wrapText="1"/>
    </xf>
    <xf borderId="13" fillId="10" fontId="6" numFmtId="0" xfId="0" applyAlignment="1" applyBorder="1" applyFont="1">
      <alignment horizontal="center" readingOrder="0" vertical="center"/>
    </xf>
    <xf borderId="13" fillId="10" fontId="13" numFmtId="49" xfId="0" applyAlignment="1" applyBorder="1" applyFont="1" applyNumberFormat="1">
      <alignment horizontal="left" readingOrder="0" shrinkToFit="0" vertical="center" wrapText="1"/>
    </xf>
    <xf borderId="13" fillId="10" fontId="15" numFmtId="164" xfId="0" applyAlignment="1" applyBorder="1" applyFont="1" applyNumberFormat="1">
      <alignment horizontal="right" readingOrder="0" shrinkToFit="0" vertical="center" wrapText="1"/>
    </xf>
    <xf borderId="13" fillId="10" fontId="6" numFmtId="0" xfId="0" applyAlignment="1" applyBorder="1" applyFont="1">
      <alignment horizontal="right" readingOrder="0" vertical="center"/>
    </xf>
    <xf borderId="13" fillId="0" fontId="13" numFmtId="0" xfId="0" applyAlignment="1" applyBorder="1" applyFont="1">
      <alignment horizontal="left" readingOrder="0" shrinkToFit="0" vertical="center" wrapText="1"/>
    </xf>
    <xf borderId="13" fillId="0" fontId="20" numFmtId="0" xfId="0" applyAlignment="1" applyBorder="1" applyFont="1">
      <alignment horizontal="left" readingOrder="0" shrinkToFit="0" vertical="center" wrapText="1"/>
    </xf>
    <xf borderId="13" fillId="9" fontId="23" numFmtId="0" xfId="0" applyAlignment="1" applyBorder="1" applyFont="1">
      <alignment horizontal="center" readingOrder="0" shrinkToFit="0" vertical="center" wrapText="1"/>
    </xf>
    <xf borderId="13" fillId="9" fontId="23" numFmtId="3" xfId="0" applyAlignment="1" applyBorder="1" applyFont="1" applyNumberFormat="1">
      <alignment horizontal="center" readingOrder="0" shrinkToFit="0" vertical="center" wrapText="1"/>
    </xf>
    <xf borderId="13" fillId="9" fontId="24" numFmtId="10" xfId="0" applyAlignment="1" applyBorder="1" applyFont="1" applyNumberFormat="1">
      <alignment horizontal="center" readingOrder="0" vertical="center"/>
    </xf>
    <xf borderId="13" fillId="0" fontId="13" numFmtId="0" xfId="0" applyAlignment="1" applyBorder="1" applyFont="1">
      <alignment readingOrder="0" shrinkToFit="0" vertical="center" wrapText="1"/>
    </xf>
    <xf borderId="13" fillId="0" fontId="15" numFmtId="0" xfId="0" applyAlignment="1" applyBorder="1" applyFont="1">
      <alignment horizontal="center" readingOrder="0" shrinkToFit="0" vertical="center" wrapText="1"/>
    </xf>
    <xf borderId="13" fillId="0" fontId="15" numFmtId="164" xfId="0" applyAlignment="1" applyBorder="1" applyFont="1" applyNumberFormat="1">
      <alignment horizontal="right" readingOrder="0" shrinkToFit="0" vertical="center" wrapText="1"/>
    </xf>
    <xf borderId="13" fillId="0" fontId="6" numFmtId="0" xfId="0" applyAlignment="1" applyBorder="1" applyFont="1">
      <alignment horizontal="right" readingOrder="0" vertical="center"/>
    </xf>
    <xf borderId="13" fillId="11" fontId="13" numFmtId="0" xfId="0" applyAlignment="1" applyBorder="1" applyFill="1" applyFont="1">
      <alignment horizontal="left" readingOrder="0" shrinkToFit="0" vertical="center" wrapText="1"/>
    </xf>
    <xf borderId="13" fillId="11" fontId="20" numFmtId="0" xfId="0" applyAlignment="1" applyBorder="1" applyFont="1">
      <alignment horizontal="left" readingOrder="0" shrinkToFit="0" vertical="center" wrapText="1"/>
    </xf>
    <xf borderId="13" fillId="9" fontId="21" numFmtId="0" xfId="0" applyAlignment="1" applyBorder="1" applyFont="1">
      <alignment horizontal="left" readingOrder="0" shrinkToFit="0" vertical="center" wrapText="1"/>
    </xf>
    <xf borderId="13" fillId="0" fontId="25" numFmtId="0" xfId="0" applyAlignment="1" applyBorder="1" applyFont="1">
      <alignment horizontal="center" readingOrder="0" shrinkToFit="0" vertical="center" wrapText="1"/>
    </xf>
    <xf borderId="13" fillId="0" fontId="6" numFmtId="165" xfId="0" applyAlignment="1" applyBorder="1" applyFont="1" applyNumberFormat="1">
      <alignment horizontal="right" readingOrder="0" vertical="center"/>
    </xf>
    <xf borderId="13" fillId="0" fontId="13" numFmtId="49" xfId="0" applyAlignment="1" applyBorder="1" applyFont="1" applyNumberFormat="1">
      <alignment horizontal="left" readingOrder="0" shrinkToFit="0" vertical="center" wrapText="1"/>
    </xf>
    <xf borderId="13" fillId="0" fontId="2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zBvrNVQohulaPhiS7tFBy42nvMTq4H6/view?usp=drive_link" TargetMode="External"/><Relationship Id="rId2" Type="http://schemas.openxmlformats.org/officeDocument/2006/relationships/hyperlink" Target="https://drive.google.com/file/d/161UX1bYi3eKL2RbnEoZ8Z3y5iiknLjBy/view?usp=drive_link" TargetMode="External"/><Relationship Id="rId3" Type="http://schemas.openxmlformats.org/officeDocument/2006/relationships/hyperlink" Target="https://drive.google.com/file/d/1EhmN5_qEw5T8WCkyAs8fe-PAlpplcLUt/view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kFLn1R2VGJsLYSwQ0kl9_jjB1VDuUvL/view?usp=drive_link" TargetMode="External"/><Relationship Id="rId10" Type="http://schemas.openxmlformats.org/officeDocument/2006/relationships/hyperlink" Target="https://drive.google.com/file/d/1NoGc1zvCGlHRqxasmTFpGqTHR-NEn4MO/view?usp=drive_link" TargetMode="External"/><Relationship Id="rId13" Type="http://schemas.openxmlformats.org/officeDocument/2006/relationships/hyperlink" Target="https://drive.google.com/file/d/1B-DtdyEUCVkHIuWLG4u2lrvTgXW7IFSK/view?usp=drive_link" TargetMode="External"/><Relationship Id="rId12" Type="http://schemas.openxmlformats.org/officeDocument/2006/relationships/hyperlink" Target="https://drive.google.com/file/d/1VkFLn1R2VGJsLYSwQ0kl9_jjB1VDuUvL/view?usp=drive_link" TargetMode="External"/><Relationship Id="rId1" Type="http://schemas.openxmlformats.org/officeDocument/2006/relationships/hyperlink" Target="https://drive.google.com/file/d/137dhpLw1OUVRn89tdTAdlVAOK_Ix9pwt/view?usp=drive_link" TargetMode="External"/><Relationship Id="rId2" Type="http://schemas.openxmlformats.org/officeDocument/2006/relationships/hyperlink" Target="https://drive.google.com/file/d/1FfrpY-kA5mWnl834lLQ0IRSf7lE8dT4G/view?usp=drive_link" TargetMode="External"/><Relationship Id="rId3" Type="http://schemas.openxmlformats.org/officeDocument/2006/relationships/hyperlink" Target="https://drive.google.com/file/d/1Ml8efNnO5YwpP88fIa3IvrqwERl8LffP/view?usp=drive_link" TargetMode="External"/><Relationship Id="rId4" Type="http://schemas.openxmlformats.org/officeDocument/2006/relationships/hyperlink" Target="https://drive.google.com/file/d/1VkFLn1R2VGJsLYSwQ0kl9_jjB1VDuUvL/view?usp=drive_link" TargetMode="External"/><Relationship Id="rId9" Type="http://schemas.openxmlformats.org/officeDocument/2006/relationships/hyperlink" Target="https://drive.google.com/file/d/1FD7wLvxpKzksCrdSiRnyiAnKo9A3SMkh/view?usp=drive_link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file/d/1MTY91BeVHQ6N0t3_HLqn1fiDaL48V0dl/view?usp=drive_link" TargetMode="External"/><Relationship Id="rId6" Type="http://schemas.openxmlformats.org/officeDocument/2006/relationships/hyperlink" Target="https://drive.google.com/file/d/1jZgrJfqQSfDD-fdz8kzMbB0-imS1zv3E/view?usp=drive_link" TargetMode="External"/><Relationship Id="rId7" Type="http://schemas.openxmlformats.org/officeDocument/2006/relationships/hyperlink" Target="https://drive.google.com/file/d/1VkFLn1R2VGJsLYSwQ0kl9_jjB1VDuUvL/view?usp=drive_link" TargetMode="External"/><Relationship Id="rId8" Type="http://schemas.openxmlformats.org/officeDocument/2006/relationships/hyperlink" Target="https://drive.google.com/file/d/1bWH7Q4KAQ7XeHIPNNo2HzGuog9gFNqN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2.75"/>
    <col customWidth="1" min="3" max="3" width="17.38"/>
    <col customWidth="1" min="4" max="4" width="9.13"/>
    <col customWidth="1" hidden="1" min="5" max="5" width="40.13"/>
    <col customWidth="1" hidden="1" min="6" max="6" width="10.13"/>
    <col customWidth="1" hidden="1" min="7" max="7" width="12.63"/>
    <col customWidth="1" hidden="1" min="8" max="8" width="15.13"/>
    <col customWidth="1" hidden="1" min="9" max="9" width="18.13"/>
    <col customWidth="1" hidden="1" min="10" max="12" width="14.0"/>
    <col customWidth="1" min="13" max="13" width="13.63"/>
    <col customWidth="1" min="14" max="14" width="7.0"/>
    <col customWidth="1" min="15" max="15" width="8.5"/>
    <col customWidth="1" min="16" max="16" width="15.63"/>
    <col customWidth="1" min="18" max="18" width="9.0"/>
    <col customWidth="1" min="19" max="19" width="11.13"/>
    <col customWidth="1" min="20" max="20" width="15.38"/>
    <col customWidth="1" min="21" max="21" width="7.0"/>
    <col customWidth="1" min="22" max="22" width="10.88"/>
  </cols>
  <sheetData>
    <row r="1" ht="24.0" customHeight="1">
      <c r="A1" s="1" t="s">
        <v>0</v>
      </c>
      <c r="I1" s="2" t="s">
        <v>1</v>
      </c>
      <c r="K1" s="3" t="s">
        <v>2</v>
      </c>
      <c r="M1" s="4" t="s">
        <v>3</v>
      </c>
      <c r="P1" s="5" t="s">
        <v>4</v>
      </c>
      <c r="T1" s="4" t="s">
        <v>5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9" t="s">
        <v>14</v>
      </c>
      <c r="J2" s="9" t="s">
        <v>15</v>
      </c>
      <c r="K2" s="3" t="s">
        <v>14</v>
      </c>
      <c r="L2" s="3" t="s">
        <v>16</v>
      </c>
      <c r="M2" s="2" t="s">
        <v>14</v>
      </c>
      <c r="N2" s="2" t="s">
        <v>15</v>
      </c>
      <c r="O2" s="10" t="s">
        <v>17</v>
      </c>
      <c r="P2" s="3" t="s">
        <v>14</v>
      </c>
      <c r="Q2" s="3" t="s">
        <v>15</v>
      </c>
      <c r="R2" s="11" t="s">
        <v>17</v>
      </c>
      <c r="S2" s="11" t="s">
        <v>18</v>
      </c>
      <c r="T2" s="2" t="s">
        <v>14</v>
      </c>
      <c r="U2" s="2" t="s">
        <v>15</v>
      </c>
      <c r="V2" s="10" t="s">
        <v>18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67.5" customHeight="1">
      <c r="A3" s="12">
        <v>1.0</v>
      </c>
      <c r="B3" s="13" t="s">
        <v>19</v>
      </c>
      <c r="C3" s="14" t="s">
        <v>20</v>
      </c>
      <c r="D3" s="15" t="s">
        <v>21</v>
      </c>
      <c r="E3" s="16" t="s">
        <v>22</v>
      </c>
      <c r="F3" s="17" t="s">
        <v>23</v>
      </c>
      <c r="G3" s="18" t="s">
        <v>24</v>
      </c>
      <c r="H3" s="19" t="s">
        <v>25</v>
      </c>
      <c r="I3" s="20" t="s">
        <v>26</v>
      </c>
      <c r="J3" s="21">
        <v>0.35</v>
      </c>
      <c r="K3" s="22" t="s">
        <v>27</v>
      </c>
      <c r="L3" s="21">
        <v>0.35</v>
      </c>
      <c r="M3" s="20" t="s">
        <v>28</v>
      </c>
      <c r="N3" s="23">
        <v>0.34</v>
      </c>
      <c r="O3" s="23">
        <v>0.028</v>
      </c>
      <c r="P3" s="24" t="s">
        <v>29</v>
      </c>
      <c r="Q3" s="23">
        <v>0.2008</v>
      </c>
      <c r="R3" s="23">
        <f>N3-Q3</f>
        <v>0.1392</v>
      </c>
      <c r="S3" s="23">
        <v>0.14</v>
      </c>
      <c r="T3" s="20" t="s">
        <v>30</v>
      </c>
      <c r="U3" s="23">
        <v>0.05</v>
      </c>
      <c r="V3" s="23">
        <f t="shared" ref="V3:V7" si="1">Q3-U3</f>
        <v>0.1508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</row>
    <row r="4" ht="67.5" customHeight="1">
      <c r="A4" s="26">
        <v>2.0</v>
      </c>
      <c r="B4" s="27" t="s">
        <v>31</v>
      </c>
      <c r="C4" s="14" t="s">
        <v>32</v>
      </c>
      <c r="D4" s="15" t="s">
        <v>33</v>
      </c>
      <c r="E4" s="28" t="s">
        <v>34</v>
      </c>
      <c r="F4" s="17" t="s">
        <v>23</v>
      </c>
      <c r="G4" s="18" t="s">
        <v>24</v>
      </c>
      <c r="H4" s="19" t="s">
        <v>25</v>
      </c>
      <c r="I4" s="29"/>
      <c r="J4" s="30"/>
      <c r="K4" s="29"/>
      <c r="L4" s="30"/>
      <c r="M4" s="20" t="s">
        <v>35</v>
      </c>
      <c r="N4" s="23" t="s">
        <v>33</v>
      </c>
      <c r="O4" s="31">
        <v>0.0</v>
      </c>
      <c r="P4" s="24" t="s">
        <v>36</v>
      </c>
      <c r="Q4" s="32">
        <v>0.3508</v>
      </c>
      <c r="R4" s="31">
        <v>0.0</v>
      </c>
      <c r="S4" s="31">
        <v>0.0</v>
      </c>
      <c r="T4" s="20" t="s">
        <v>37</v>
      </c>
      <c r="U4" s="23">
        <v>0.05</v>
      </c>
      <c r="V4" s="23">
        <f t="shared" si="1"/>
        <v>0.3008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 ht="67.5" customHeight="1">
      <c r="A5" s="33">
        <v>3.0</v>
      </c>
      <c r="B5" s="34" t="s">
        <v>38</v>
      </c>
      <c r="C5" s="14" t="s">
        <v>39</v>
      </c>
      <c r="D5" s="15" t="s">
        <v>40</v>
      </c>
      <c r="E5" s="28" t="s">
        <v>41</v>
      </c>
      <c r="F5" s="18" t="s">
        <v>42</v>
      </c>
      <c r="G5" s="18" t="s">
        <v>24</v>
      </c>
      <c r="H5" s="19" t="s">
        <v>43</v>
      </c>
      <c r="I5" s="29"/>
      <c r="J5" s="30"/>
      <c r="K5" s="29"/>
      <c r="L5" s="30"/>
      <c r="M5" s="20" t="s">
        <v>44</v>
      </c>
      <c r="N5" s="23">
        <v>0.1</v>
      </c>
      <c r="O5" s="35">
        <f>D5-N5</f>
        <v>0.005</v>
      </c>
      <c r="P5" s="24" t="s">
        <v>45</v>
      </c>
      <c r="Q5" s="32">
        <v>0.096</v>
      </c>
      <c r="R5" s="23">
        <f>N5-Q5</f>
        <v>0.004</v>
      </c>
      <c r="S5" s="23">
        <v>0.095</v>
      </c>
      <c r="T5" s="20" t="s">
        <v>46</v>
      </c>
      <c r="U5" s="36">
        <v>0.08</v>
      </c>
      <c r="V5" s="23">
        <f t="shared" si="1"/>
        <v>0.016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 ht="67.5" customHeight="1">
      <c r="A6" s="37">
        <v>4.0</v>
      </c>
      <c r="B6" s="38" t="s">
        <v>47</v>
      </c>
      <c r="C6" s="14" t="s">
        <v>48</v>
      </c>
      <c r="D6" s="39">
        <v>0.1</v>
      </c>
      <c r="E6" s="28" t="s">
        <v>49</v>
      </c>
      <c r="F6" s="18" t="s">
        <v>42</v>
      </c>
      <c r="G6" s="18" t="s">
        <v>24</v>
      </c>
      <c r="H6" s="18" t="s">
        <v>43</v>
      </c>
      <c r="I6" s="29"/>
      <c r="J6" s="30"/>
      <c r="K6" s="29"/>
      <c r="L6" s="30"/>
      <c r="M6" s="20" t="s">
        <v>35</v>
      </c>
      <c r="N6" s="23">
        <v>0.1</v>
      </c>
      <c r="O6" s="40">
        <v>0.0</v>
      </c>
      <c r="P6" s="24" t="s">
        <v>50</v>
      </c>
      <c r="Q6" s="32">
        <v>0.1</v>
      </c>
      <c r="R6" s="31">
        <v>0.0</v>
      </c>
      <c r="S6" s="31">
        <v>0.0</v>
      </c>
      <c r="T6" s="20" t="s">
        <v>51</v>
      </c>
      <c r="U6" s="41">
        <v>0.075</v>
      </c>
      <c r="V6" s="23">
        <f t="shared" si="1"/>
        <v>0.025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 ht="67.5" customHeight="1">
      <c r="A7" s="42">
        <v>5.0</v>
      </c>
      <c r="B7" s="43" t="s">
        <v>52</v>
      </c>
      <c r="C7" s="14" t="s">
        <v>53</v>
      </c>
      <c r="D7" s="15" t="s">
        <v>54</v>
      </c>
      <c r="E7" s="28" t="s">
        <v>55</v>
      </c>
      <c r="F7" s="17" t="s">
        <v>23</v>
      </c>
      <c r="G7" s="18" t="s">
        <v>24</v>
      </c>
      <c r="H7" s="18" t="s">
        <v>43</v>
      </c>
      <c r="I7" s="29"/>
      <c r="J7" s="30"/>
      <c r="K7" s="29"/>
      <c r="L7" s="30"/>
      <c r="M7" s="20" t="s">
        <v>35</v>
      </c>
      <c r="N7" s="23" t="s">
        <v>54</v>
      </c>
      <c r="O7" s="40">
        <v>0.0</v>
      </c>
      <c r="P7" s="24" t="s">
        <v>56</v>
      </c>
      <c r="Q7" s="44" t="s">
        <v>54</v>
      </c>
      <c r="R7" s="31">
        <v>0.0</v>
      </c>
      <c r="S7" s="31">
        <v>0.0</v>
      </c>
      <c r="T7" s="20" t="s">
        <v>35</v>
      </c>
      <c r="U7" s="15" t="s">
        <v>54</v>
      </c>
      <c r="V7" s="23">
        <f t="shared" si="1"/>
        <v>0</v>
      </c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>
      <c r="A8" s="6"/>
      <c r="B8" s="6"/>
      <c r="C8" s="45" t="s">
        <v>57</v>
      </c>
      <c r="D8" s="46">
        <v>0.92</v>
      </c>
      <c r="E8" s="6"/>
      <c r="F8" s="6"/>
      <c r="G8" s="6"/>
      <c r="H8" s="6"/>
      <c r="I8" s="6"/>
      <c r="J8" s="6"/>
      <c r="K8" s="6"/>
      <c r="L8" s="6"/>
      <c r="M8" s="6"/>
      <c r="N8" s="47">
        <v>0.878</v>
      </c>
      <c r="O8" s="47">
        <f>SUM(O3:O7)</f>
        <v>0.033</v>
      </c>
      <c r="P8" s="6"/>
      <c r="Q8" s="47">
        <f t="shared" ref="Q8:S8" si="2">SUM(Q3:Q7)</f>
        <v>0.7476</v>
      </c>
      <c r="R8" s="47">
        <f t="shared" si="2"/>
        <v>0.1432</v>
      </c>
      <c r="S8" s="47">
        <f t="shared" si="2"/>
        <v>0.235</v>
      </c>
      <c r="T8" s="6"/>
      <c r="U8" s="47">
        <f t="shared" ref="U8:V8" si="3">SUM(U3:U7)</f>
        <v>0.255</v>
      </c>
      <c r="V8" s="47">
        <f t="shared" si="3"/>
        <v>0.4926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mergeCells count="6">
    <mergeCell ref="A1:H1"/>
    <mergeCell ref="I1:J1"/>
    <mergeCell ref="K1:L1"/>
    <mergeCell ref="M1:O1"/>
    <mergeCell ref="P1:S1"/>
    <mergeCell ref="T1:V1"/>
  </mergeCells>
  <dataValidations>
    <dataValidation type="list" allowBlank="1" showErrorMessage="1" sqref="C3:C7">
      <formula1>"Login / Lentitud,Geolocalización,Transferencias,OTP,Descarga de Token"</formula1>
    </dataValidation>
    <dataValidation type="list" allowBlank="1" showErrorMessage="1" sqref="G3:G7">
      <formula1>"Android,iOS"</formula1>
    </dataValidation>
    <dataValidation type="list" allowBlank="1" showErrorMessage="1" sqref="H3:H7">
      <formula1>"Call Center,Tiendas,Opinator"</formula1>
    </dataValidation>
  </dataValidations>
  <hyperlinks>
    <hyperlink r:id="rId1" ref="F3"/>
    <hyperlink display="ERROR AL OBTENER UBICACIÓN/&#10;- No funciona bien/falla (NPS)&#10;- Fallas en el login (NPS)" location="null!A1" ref="B4"/>
    <hyperlink r:id="rId2" ref="F4"/>
    <hyperlink display="ERROR AL REALIZAR CUALQUIER TIPO DE TRANSFERENCIA" location="Transferencias!A1" ref="B5"/>
    <hyperlink r:id="rId3" ref="F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13"/>
    <col customWidth="1" min="3" max="3" width="20.13"/>
    <col customWidth="1" min="4" max="4" width="27.63"/>
    <col customWidth="1" min="5" max="5" width="10.75"/>
    <col customWidth="1" min="6" max="6" width="15.13"/>
    <col customWidth="1" min="7" max="8" width="16.38"/>
    <col customWidth="1" min="9" max="9" width="11.38"/>
    <col customWidth="1" min="10" max="10" width="27.63"/>
    <col customWidth="1" min="11" max="11" width="16.38"/>
    <col customWidth="1" min="12" max="12" width="15.13"/>
    <col customWidth="1" min="13" max="13" width="13.88"/>
    <col customWidth="1" min="14" max="14" width="16.38"/>
    <col customWidth="1" min="15" max="15" width="12.63"/>
  </cols>
  <sheetData>
    <row r="1" ht="30.0" customHeight="1">
      <c r="A1" s="48" t="s">
        <v>58</v>
      </c>
      <c r="B1" s="49" t="s">
        <v>10</v>
      </c>
      <c r="C1" s="49" t="s">
        <v>59</v>
      </c>
      <c r="D1" s="49" t="s">
        <v>60</v>
      </c>
      <c r="E1" s="49" t="s">
        <v>61</v>
      </c>
      <c r="F1" s="49" t="s">
        <v>62</v>
      </c>
      <c r="G1" s="49" t="s">
        <v>63</v>
      </c>
      <c r="H1" s="49" t="s">
        <v>64</v>
      </c>
      <c r="I1" s="49" t="s">
        <v>65</v>
      </c>
      <c r="J1" s="50" t="s">
        <v>66</v>
      </c>
      <c r="K1" s="51" t="s">
        <v>67</v>
      </c>
      <c r="L1" s="52" t="s">
        <v>13</v>
      </c>
      <c r="M1" s="50" t="s">
        <v>68</v>
      </c>
      <c r="N1" s="50" t="s">
        <v>69</v>
      </c>
      <c r="O1" s="51" t="s">
        <v>70</v>
      </c>
      <c r="P1" s="51" t="s">
        <v>71</v>
      </c>
    </row>
    <row r="2" ht="90.0" customHeight="1">
      <c r="A2" s="53"/>
      <c r="B2" s="54" t="s">
        <v>72</v>
      </c>
      <c r="C2" s="55" t="s">
        <v>73</v>
      </c>
      <c r="D2" s="55" t="s">
        <v>74</v>
      </c>
      <c r="E2" s="55"/>
      <c r="F2" s="55"/>
      <c r="G2" s="55"/>
      <c r="H2" s="55"/>
      <c r="I2" s="55"/>
      <c r="J2" s="56" t="s">
        <v>75</v>
      </c>
      <c r="K2" s="57" t="s">
        <v>72</v>
      </c>
      <c r="L2" s="57" t="s">
        <v>43</v>
      </c>
      <c r="M2" s="57" t="s">
        <v>76</v>
      </c>
      <c r="N2" s="57" t="s">
        <v>77</v>
      </c>
      <c r="O2" s="58">
        <v>46048.0</v>
      </c>
      <c r="P2" s="59"/>
    </row>
    <row r="3" ht="90.0" customHeight="1">
      <c r="A3" s="60">
        <v>1.0</v>
      </c>
      <c r="B3" s="61" t="s">
        <v>78</v>
      </c>
      <c r="C3" s="62" t="s">
        <v>73</v>
      </c>
      <c r="D3" s="62" t="s">
        <v>73</v>
      </c>
      <c r="E3" s="62" t="s">
        <v>73</v>
      </c>
      <c r="F3" s="62" t="s">
        <v>73</v>
      </c>
      <c r="G3" s="62" t="s">
        <v>73</v>
      </c>
      <c r="H3" s="62" t="s">
        <v>73</v>
      </c>
      <c r="I3" s="62" t="s">
        <v>73</v>
      </c>
      <c r="J3" s="63" t="s">
        <v>79</v>
      </c>
      <c r="K3" s="64" t="s">
        <v>80</v>
      </c>
      <c r="L3" s="64" t="s">
        <v>25</v>
      </c>
      <c r="M3" s="64" t="s">
        <v>81</v>
      </c>
      <c r="N3" s="64" t="s">
        <v>82</v>
      </c>
      <c r="O3" s="65">
        <v>45985.0</v>
      </c>
      <c r="P3" s="66" t="s">
        <v>83</v>
      </c>
    </row>
    <row r="4" ht="90.0" customHeight="1">
      <c r="A4" s="60">
        <v>2.0</v>
      </c>
      <c r="B4" s="67" t="s">
        <v>84</v>
      </c>
      <c r="C4" s="68" t="s">
        <v>85</v>
      </c>
      <c r="D4" s="69" t="s">
        <v>86</v>
      </c>
      <c r="E4" s="70" t="s">
        <v>23</v>
      </c>
      <c r="F4" s="71" t="s">
        <v>87</v>
      </c>
      <c r="G4" s="72">
        <v>25980.0</v>
      </c>
      <c r="H4" s="72" t="s">
        <v>88</v>
      </c>
      <c r="I4" s="73">
        <f t="shared" ref="I4:I28" si="1">IFERROR(H4/G4,"%")</f>
        <v>0.0001154734411</v>
      </c>
      <c r="J4" s="74"/>
      <c r="K4" s="75" t="s">
        <v>89</v>
      </c>
      <c r="L4" s="75" t="s">
        <v>25</v>
      </c>
      <c r="M4" s="75" t="s">
        <v>81</v>
      </c>
      <c r="N4" s="75" t="s">
        <v>90</v>
      </c>
      <c r="O4" s="75" t="s">
        <v>91</v>
      </c>
      <c r="P4" s="76"/>
    </row>
    <row r="5" ht="90.0" customHeight="1">
      <c r="A5" s="60">
        <v>3.0</v>
      </c>
      <c r="B5" s="77" t="s">
        <v>92</v>
      </c>
      <c r="C5" s="68" t="s">
        <v>93</v>
      </c>
      <c r="D5" s="69" t="s">
        <v>94</v>
      </c>
      <c r="E5" s="70" t="s">
        <v>23</v>
      </c>
      <c r="F5" s="71" t="s">
        <v>87</v>
      </c>
      <c r="G5" s="72">
        <v>25980.0</v>
      </c>
      <c r="H5" s="72">
        <v>3257.0</v>
      </c>
      <c r="I5" s="73">
        <f t="shared" si="1"/>
        <v>0.1253656659</v>
      </c>
      <c r="J5" s="74" t="s">
        <v>95</v>
      </c>
      <c r="K5" s="75" t="s">
        <v>96</v>
      </c>
      <c r="L5" s="75" t="s">
        <v>25</v>
      </c>
      <c r="M5" s="75" t="s">
        <v>97</v>
      </c>
      <c r="N5" s="75" t="s">
        <v>77</v>
      </c>
      <c r="O5" s="78">
        <v>46003.0</v>
      </c>
      <c r="P5" s="79" t="s">
        <v>98</v>
      </c>
    </row>
    <row r="6" ht="90.0" customHeight="1">
      <c r="A6" s="60">
        <v>4.0</v>
      </c>
      <c r="B6" s="80" t="s">
        <v>99</v>
      </c>
      <c r="C6" s="81" t="s">
        <v>100</v>
      </c>
      <c r="D6" s="61" t="s">
        <v>101</v>
      </c>
      <c r="E6" s="80"/>
      <c r="F6" s="82" t="s">
        <v>87</v>
      </c>
      <c r="G6" s="83">
        <v>25980.0</v>
      </c>
      <c r="H6" s="83" t="s">
        <v>102</v>
      </c>
      <c r="I6" s="84">
        <f t="shared" si="1"/>
        <v>0.04468822171</v>
      </c>
      <c r="J6" s="85" t="s">
        <v>103</v>
      </c>
      <c r="K6" s="86" t="s">
        <v>96</v>
      </c>
      <c r="L6" s="86" t="s">
        <v>25</v>
      </c>
      <c r="M6" s="86" t="s">
        <v>104</v>
      </c>
      <c r="N6" s="86" t="s">
        <v>82</v>
      </c>
      <c r="O6" s="87">
        <v>45575.0</v>
      </c>
      <c r="P6" s="88" t="s">
        <v>105</v>
      </c>
    </row>
    <row r="7" ht="90.0" customHeight="1">
      <c r="A7" s="60">
        <v>5.0</v>
      </c>
      <c r="B7" s="80" t="s">
        <v>106</v>
      </c>
      <c r="C7" s="81" t="s">
        <v>107</v>
      </c>
      <c r="D7" s="61" t="s">
        <v>108</v>
      </c>
      <c r="E7" s="80"/>
      <c r="F7" s="82" t="s">
        <v>87</v>
      </c>
      <c r="G7" s="83">
        <v>25980.0</v>
      </c>
      <c r="H7" s="83">
        <v>4264.0</v>
      </c>
      <c r="I7" s="84">
        <f t="shared" si="1"/>
        <v>0.164126251</v>
      </c>
      <c r="J7" s="85" t="s">
        <v>103</v>
      </c>
      <c r="K7" s="86" t="s">
        <v>96</v>
      </c>
      <c r="L7" s="86" t="s">
        <v>25</v>
      </c>
      <c r="M7" s="86" t="s">
        <v>104</v>
      </c>
      <c r="N7" s="86" t="s">
        <v>82</v>
      </c>
      <c r="O7" s="87">
        <v>45575.0</v>
      </c>
      <c r="P7" s="88" t="s">
        <v>105</v>
      </c>
    </row>
    <row r="8" ht="90.0" customHeight="1">
      <c r="A8" s="60">
        <v>6.0</v>
      </c>
      <c r="B8" s="80" t="s">
        <v>109</v>
      </c>
      <c r="C8" s="81" t="s">
        <v>110</v>
      </c>
      <c r="D8" s="61" t="s">
        <v>111</v>
      </c>
      <c r="E8" s="80"/>
      <c r="F8" s="82" t="s">
        <v>87</v>
      </c>
      <c r="G8" s="83">
        <v>25980.0</v>
      </c>
      <c r="H8" s="83" t="s">
        <v>112</v>
      </c>
      <c r="I8" s="84">
        <f t="shared" si="1"/>
        <v>0.1003849115</v>
      </c>
      <c r="J8" s="85" t="s">
        <v>103</v>
      </c>
      <c r="K8" s="86" t="s">
        <v>96</v>
      </c>
      <c r="L8" s="86" t="s">
        <v>25</v>
      </c>
      <c r="M8" s="86" t="s">
        <v>104</v>
      </c>
      <c r="N8" s="86" t="s">
        <v>82</v>
      </c>
      <c r="O8" s="87">
        <v>45575.0</v>
      </c>
      <c r="P8" s="88" t="s">
        <v>105</v>
      </c>
    </row>
    <row r="9" ht="90.0" customHeight="1">
      <c r="A9" s="60">
        <v>7.0</v>
      </c>
      <c r="B9" s="80" t="s">
        <v>113</v>
      </c>
      <c r="C9" s="81" t="s">
        <v>114</v>
      </c>
      <c r="D9" s="61" t="s">
        <v>115</v>
      </c>
      <c r="E9" s="80"/>
      <c r="F9" s="82" t="s">
        <v>87</v>
      </c>
      <c r="G9" s="83">
        <v>25980.0</v>
      </c>
      <c r="H9" s="83">
        <v>1018.0</v>
      </c>
      <c r="I9" s="84">
        <f t="shared" si="1"/>
        <v>0.03918398768</v>
      </c>
      <c r="J9" s="85" t="s">
        <v>103</v>
      </c>
      <c r="K9" s="86" t="s">
        <v>96</v>
      </c>
      <c r="L9" s="86" t="s">
        <v>25</v>
      </c>
      <c r="M9" s="86" t="s">
        <v>104</v>
      </c>
      <c r="N9" s="86" t="s">
        <v>82</v>
      </c>
      <c r="O9" s="87">
        <v>45575.0</v>
      </c>
      <c r="P9" s="88" t="s">
        <v>105</v>
      </c>
    </row>
    <row r="10" ht="90.0" customHeight="1">
      <c r="A10" s="60">
        <v>8.0</v>
      </c>
      <c r="B10" s="89" t="s">
        <v>116</v>
      </c>
      <c r="C10" s="90" t="s">
        <v>117</v>
      </c>
      <c r="D10" s="91" t="s">
        <v>118</v>
      </c>
      <c r="E10" s="92" t="s">
        <v>23</v>
      </c>
      <c r="F10" s="82" t="s">
        <v>87</v>
      </c>
      <c r="G10" s="83">
        <v>25980.0</v>
      </c>
      <c r="H10" s="83">
        <v>48.0</v>
      </c>
      <c r="I10" s="84">
        <f t="shared" si="1"/>
        <v>0.001847575058</v>
      </c>
      <c r="J10" s="85"/>
      <c r="K10" s="86" t="s">
        <v>96</v>
      </c>
      <c r="L10" s="86" t="s">
        <v>25</v>
      </c>
      <c r="M10" s="86" t="s">
        <v>104</v>
      </c>
      <c r="N10" s="86" t="s">
        <v>90</v>
      </c>
      <c r="O10" s="87"/>
      <c r="P10" s="93"/>
    </row>
    <row r="11" ht="90.0" customHeight="1">
      <c r="A11" s="60">
        <v>9.0</v>
      </c>
      <c r="B11" s="80" t="s">
        <v>119</v>
      </c>
      <c r="C11" s="81" t="s">
        <v>120</v>
      </c>
      <c r="D11" s="61" t="s">
        <v>121</v>
      </c>
      <c r="E11" s="92" t="s">
        <v>23</v>
      </c>
      <c r="F11" s="82" t="s">
        <v>87</v>
      </c>
      <c r="G11" s="83">
        <v>25980.0</v>
      </c>
      <c r="H11" s="83">
        <v>199.0</v>
      </c>
      <c r="I11" s="84">
        <f t="shared" si="1"/>
        <v>0.00765973826</v>
      </c>
      <c r="J11" s="85" t="s">
        <v>122</v>
      </c>
      <c r="K11" s="86" t="s">
        <v>96</v>
      </c>
      <c r="L11" s="86" t="s">
        <v>25</v>
      </c>
      <c r="M11" s="86" t="s">
        <v>97</v>
      </c>
      <c r="N11" s="86" t="s">
        <v>82</v>
      </c>
      <c r="O11" s="87">
        <v>45630.0</v>
      </c>
      <c r="P11" s="88" t="s">
        <v>123</v>
      </c>
    </row>
    <row r="12" ht="90.0" customHeight="1">
      <c r="A12" s="60">
        <v>10.0</v>
      </c>
      <c r="B12" s="94" t="s">
        <v>124</v>
      </c>
      <c r="C12" s="81" t="s">
        <v>125</v>
      </c>
      <c r="D12" s="61" t="s">
        <v>126</v>
      </c>
      <c r="E12" s="92" t="s">
        <v>23</v>
      </c>
      <c r="F12" s="82" t="s">
        <v>87</v>
      </c>
      <c r="G12" s="83">
        <v>25980.0</v>
      </c>
      <c r="H12" s="83">
        <v>9802.0</v>
      </c>
      <c r="I12" s="84">
        <f t="shared" si="1"/>
        <v>0.3772902232</v>
      </c>
      <c r="J12" s="85" t="s">
        <v>103</v>
      </c>
      <c r="K12" s="86" t="s">
        <v>127</v>
      </c>
      <c r="L12" s="86" t="s">
        <v>25</v>
      </c>
      <c r="M12" s="86" t="s">
        <v>97</v>
      </c>
      <c r="N12" s="86" t="s">
        <v>82</v>
      </c>
      <c r="O12" s="87">
        <v>45575.0</v>
      </c>
      <c r="P12" s="88" t="s">
        <v>105</v>
      </c>
    </row>
    <row r="13" ht="90.0" customHeight="1">
      <c r="A13" s="60">
        <v>11.0</v>
      </c>
      <c r="B13" s="94" t="s">
        <v>128</v>
      </c>
      <c r="C13" s="81" t="s">
        <v>129</v>
      </c>
      <c r="D13" s="91" t="s">
        <v>130</v>
      </c>
      <c r="E13" s="92" t="s">
        <v>23</v>
      </c>
      <c r="F13" s="82" t="s">
        <v>87</v>
      </c>
      <c r="G13" s="83">
        <v>25980.0</v>
      </c>
      <c r="H13" s="83">
        <v>0.0</v>
      </c>
      <c r="I13" s="84">
        <f t="shared" si="1"/>
        <v>0</v>
      </c>
      <c r="J13" s="85"/>
      <c r="K13" s="86" t="s">
        <v>127</v>
      </c>
      <c r="L13" s="86" t="s">
        <v>25</v>
      </c>
      <c r="M13" s="86" t="s">
        <v>104</v>
      </c>
      <c r="N13" s="86" t="s">
        <v>90</v>
      </c>
      <c r="O13" s="87"/>
      <c r="P13" s="93"/>
    </row>
    <row r="14" ht="90.0" customHeight="1">
      <c r="A14" s="60">
        <v>12.0</v>
      </c>
      <c r="B14" s="80" t="s">
        <v>131</v>
      </c>
      <c r="C14" s="81" t="s">
        <v>132</v>
      </c>
      <c r="D14" s="61" t="s">
        <v>133</v>
      </c>
      <c r="E14" s="92" t="s">
        <v>23</v>
      </c>
      <c r="F14" s="82" t="s">
        <v>87</v>
      </c>
      <c r="G14" s="83">
        <v>25980.0</v>
      </c>
      <c r="H14" s="83">
        <v>35.0</v>
      </c>
      <c r="I14" s="84">
        <f t="shared" si="1"/>
        <v>0.001347190146</v>
      </c>
      <c r="J14" s="85" t="s">
        <v>134</v>
      </c>
      <c r="K14" s="86" t="s">
        <v>127</v>
      </c>
      <c r="L14" s="86" t="s">
        <v>25</v>
      </c>
      <c r="M14" s="86" t="s">
        <v>97</v>
      </c>
      <c r="N14" s="86" t="s">
        <v>77</v>
      </c>
      <c r="O14" s="65">
        <v>46003.0</v>
      </c>
      <c r="P14" s="66" t="s">
        <v>98</v>
      </c>
    </row>
    <row r="15" ht="90.0" customHeight="1">
      <c r="A15" s="60">
        <v>13.0</v>
      </c>
      <c r="B15" s="94" t="s">
        <v>135</v>
      </c>
      <c r="C15" s="81" t="s">
        <v>136</v>
      </c>
      <c r="D15" s="91" t="s">
        <v>137</v>
      </c>
      <c r="E15" s="92" t="s">
        <v>23</v>
      </c>
      <c r="F15" s="82" t="s">
        <v>87</v>
      </c>
      <c r="G15" s="83">
        <v>25980.0</v>
      </c>
      <c r="H15" s="83">
        <v>0.0</v>
      </c>
      <c r="I15" s="84">
        <f t="shared" si="1"/>
        <v>0</v>
      </c>
      <c r="J15" s="85" t="s">
        <v>138</v>
      </c>
      <c r="K15" s="86" t="s">
        <v>127</v>
      </c>
      <c r="L15" s="86" t="s">
        <v>25</v>
      </c>
      <c r="M15" s="86" t="s">
        <v>97</v>
      </c>
      <c r="N15" s="86" t="s">
        <v>82</v>
      </c>
      <c r="O15" s="87">
        <v>45874.0</v>
      </c>
      <c r="P15" s="88" t="s">
        <v>139</v>
      </c>
    </row>
    <row r="16" ht="90.0" customHeight="1">
      <c r="A16" s="60">
        <v>14.0</v>
      </c>
      <c r="B16" s="94" t="s">
        <v>140</v>
      </c>
      <c r="C16" s="81" t="s">
        <v>141</v>
      </c>
      <c r="D16" s="91" t="s">
        <v>142</v>
      </c>
      <c r="E16" s="92" t="s">
        <v>23</v>
      </c>
      <c r="F16" s="82" t="s">
        <v>87</v>
      </c>
      <c r="G16" s="83">
        <v>25980.0</v>
      </c>
      <c r="H16" s="83">
        <v>165.0</v>
      </c>
      <c r="I16" s="84">
        <f t="shared" si="1"/>
        <v>0.006351039261</v>
      </c>
      <c r="J16" s="85"/>
      <c r="K16" s="86" t="s">
        <v>127</v>
      </c>
      <c r="L16" s="86" t="s">
        <v>25</v>
      </c>
      <c r="M16" s="86" t="s">
        <v>104</v>
      </c>
      <c r="N16" s="86" t="s">
        <v>90</v>
      </c>
      <c r="O16" s="87"/>
      <c r="P16" s="93"/>
    </row>
    <row r="17" ht="90.0" customHeight="1">
      <c r="A17" s="60">
        <v>15.0</v>
      </c>
      <c r="B17" s="94" t="s">
        <v>143</v>
      </c>
      <c r="C17" s="81" t="s">
        <v>144</v>
      </c>
      <c r="D17" s="91" t="s">
        <v>145</v>
      </c>
      <c r="E17" s="92" t="s">
        <v>23</v>
      </c>
      <c r="F17" s="82" t="s">
        <v>87</v>
      </c>
      <c r="G17" s="83">
        <v>25980.0</v>
      </c>
      <c r="H17" s="83">
        <v>0.0</v>
      </c>
      <c r="I17" s="84">
        <f t="shared" si="1"/>
        <v>0</v>
      </c>
      <c r="J17" s="85" t="s">
        <v>146</v>
      </c>
      <c r="K17" s="86" t="s">
        <v>127</v>
      </c>
      <c r="L17" s="86" t="s">
        <v>25</v>
      </c>
      <c r="M17" s="86" t="s">
        <v>97</v>
      </c>
      <c r="N17" s="86" t="s">
        <v>82</v>
      </c>
      <c r="O17" s="87">
        <v>45630.0</v>
      </c>
      <c r="P17" s="88" t="s">
        <v>123</v>
      </c>
    </row>
    <row r="18" ht="90.0" customHeight="1">
      <c r="A18" s="60">
        <v>16.0</v>
      </c>
      <c r="B18" s="94" t="s">
        <v>147</v>
      </c>
      <c r="C18" s="81" t="s">
        <v>148</v>
      </c>
      <c r="D18" s="61" t="s">
        <v>149</v>
      </c>
      <c r="E18" s="92" t="s">
        <v>23</v>
      </c>
      <c r="F18" s="82" t="s">
        <v>87</v>
      </c>
      <c r="G18" s="83">
        <v>25980.0</v>
      </c>
      <c r="H18" s="83">
        <v>28.0</v>
      </c>
      <c r="I18" s="84">
        <f t="shared" si="1"/>
        <v>0.001077752117</v>
      </c>
      <c r="J18" s="85" t="s">
        <v>122</v>
      </c>
      <c r="K18" s="86" t="s">
        <v>127</v>
      </c>
      <c r="L18" s="86" t="s">
        <v>25</v>
      </c>
      <c r="M18" s="86" t="s">
        <v>97</v>
      </c>
      <c r="N18" s="86" t="s">
        <v>82</v>
      </c>
      <c r="O18" s="87">
        <v>45630.0</v>
      </c>
      <c r="P18" s="88" t="s">
        <v>123</v>
      </c>
    </row>
    <row r="19" ht="90.0" customHeight="1">
      <c r="A19" s="60">
        <v>17.0</v>
      </c>
      <c r="B19" s="94" t="s">
        <v>147</v>
      </c>
      <c r="C19" s="81" t="s">
        <v>150</v>
      </c>
      <c r="D19" s="61" t="s">
        <v>151</v>
      </c>
      <c r="E19" s="92" t="s">
        <v>23</v>
      </c>
      <c r="F19" s="82" t="s">
        <v>87</v>
      </c>
      <c r="G19" s="83">
        <v>25980.0</v>
      </c>
      <c r="H19" s="83">
        <v>1172.0</v>
      </c>
      <c r="I19" s="84">
        <f t="shared" si="1"/>
        <v>0.04511162433</v>
      </c>
      <c r="J19" s="85" t="s">
        <v>122</v>
      </c>
      <c r="K19" s="86" t="s">
        <v>127</v>
      </c>
      <c r="L19" s="86" t="s">
        <v>25</v>
      </c>
      <c r="M19" s="86" t="s">
        <v>97</v>
      </c>
      <c r="N19" s="86" t="s">
        <v>82</v>
      </c>
      <c r="O19" s="87">
        <v>45630.0</v>
      </c>
      <c r="P19" s="88" t="s">
        <v>123</v>
      </c>
    </row>
    <row r="20" ht="90.0" customHeight="1">
      <c r="A20" s="60">
        <v>18.0</v>
      </c>
      <c r="B20" s="94" t="s">
        <v>152</v>
      </c>
      <c r="C20" s="81" t="s">
        <v>153</v>
      </c>
      <c r="D20" s="61" t="s">
        <v>154</v>
      </c>
      <c r="E20" s="92" t="s">
        <v>23</v>
      </c>
      <c r="F20" s="82" t="s">
        <v>87</v>
      </c>
      <c r="G20" s="83">
        <v>25980.0</v>
      </c>
      <c r="H20" s="83">
        <v>82.0</v>
      </c>
      <c r="I20" s="84">
        <f t="shared" si="1"/>
        <v>0.003156274057</v>
      </c>
      <c r="J20" s="85" t="s">
        <v>103</v>
      </c>
      <c r="K20" s="86" t="s">
        <v>127</v>
      </c>
      <c r="L20" s="86" t="s">
        <v>25</v>
      </c>
      <c r="M20" s="86" t="s">
        <v>104</v>
      </c>
      <c r="N20" s="86" t="s">
        <v>82</v>
      </c>
      <c r="O20" s="87">
        <v>45575.0</v>
      </c>
      <c r="P20" s="88" t="s">
        <v>105</v>
      </c>
    </row>
    <row r="21" ht="90.0" customHeight="1">
      <c r="A21" s="60">
        <v>19.0</v>
      </c>
      <c r="B21" s="94"/>
      <c r="C21" s="81" t="s">
        <v>155</v>
      </c>
      <c r="D21" s="91" t="s">
        <v>156</v>
      </c>
      <c r="E21" s="95"/>
      <c r="F21" s="82" t="s">
        <v>87</v>
      </c>
      <c r="G21" s="83">
        <v>25980.0</v>
      </c>
      <c r="H21" s="83">
        <v>20.0</v>
      </c>
      <c r="I21" s="84">
        <f t="shared" si="1"/>
        <v>0.0007698229407</v>
      </c>
      <c r="J21" s="85"/>
      <c r="K21" s="86" t="s">
        <v>127</v>
      </c>
      <c r="L21" s="86" t="s">
        <v>25</v>
      </c>
      <c r="M21" s="86" t="s">
        <v>97</v>
      </c>
      <c r="N21" s="86" t="s">
        <v>90</v>
      </c>
      <c r="O21" s="87"/>
      <c r="P21" s="88"/>
    </row>
    <row r="22" ht="90.0" customHeight="1">
      <c r="A22" s="60">
        <v>20.0</v>
      </c>
      <c r="B22" s="94"/>
      <c r="C22" s="81" t="s">
        <v>157</v>
      </c>
      <c r="D22" s="91" t="s">
        <v>158</v>
      </c>
      <c r="E22" s="95"/>
      <c r="F22" s="82" t="s">
        <v>87</v>
      </c>
      <c r="G22" s="83">
        <v>25980.0</v>
      </c>
      <c r="H22" s="83">
        <v>3.0</v>
      </c>
      <c r="I22" s="84">
        <f t="shared" si="1"/>
        <v>0.0001154734411</v>
      </c>
      <c r="J22" s="85"/>
      <c r="K22" s="86" t="s">
        <v>127</v>
      </c>
      <c r="L22" s="86" t="s">
        <v>25</v>
      </c>
      <c r="M22" s="86" t="s">
        <v>97</v>
      </c>
      <c r="N22" s="86" t="s">
        <v>90</v>
      </c>
      <c r="O22" s="87"/>
      <c r="P22" s="88"/>
    </row>
    <row r="23" ht="90.0" customHeight="1">
      <c r="A23" s="60">
        <v>21.0</v>
      </c>
      <c r="B23" s="94"/>
      <c r="C23" s="81" t="s">
        <v>159</v>
      </c>
      <c r="D23" s="91" t="s">
        <v>160</v>
      </c>
      <c r="E23" s="95"/>
      <c r="F23" s="82" t="s">
        <v>87</v>
      </c>
      <c r="G23" s="83">
        <v>25980.0</v>
      </c>
      <c r="H23" s="83">
        <v>36.0</v>
      </c>
      <c r="I23" s="84">
        <f t="shared" si="1"/>
        <v>0.001385681293</v>
      </c>
      <c r="J23" s="85"/>
      <c r="K23" s="86" t="s">
        <v>127</v>
      </c>
      <c r="L23" s="86" t="s">
        <v>25</v>
      </c>
      <c r="M23" s="86" t="s">
        <v>97</v>
      </c>
      <c r="N23" s="86" t="s">
        <v>90</v>
      </c>
      <c r="O23" s="87"/>
      <c r="P23" s="88"/>
    </row>
    <row r="24" ht="90.0" customHeight="1">
      <c r="A24" s="60">
        <v>22.0</v>
      </c>
      <c r="B24" s="94"/>
      <c r="C24" s="81" t="s">
        <v>161</v>
      </c>
      <c r="D24" s="91" t="s">
        <v>162</v>
      </c>
      <c r="E24" s="95"/>
      <c r="F24" s="82" t="s">
        <v>87</v>
      </c>
      <c r="G24" s="83">
        <v>25980.0</v>
      </c>
      <c r="H24" s="83">
        <v>6.0</v>
      </c>
      <c r="I24" s="84">
        <f t="shared" si="1"/>
        <v>0.0002309468822</v>
      </c>
      <c r="J24" s="85"/>
      <c r="K24" s="86" t="s">
        <v>127</v>
      </c>
      <c r="L24" s="86" t="s">
        <v>25</v>
      </c>
      <c r="M24" s="86" t="s">
        <v>97</v>
      </c>
      <c r="N24" s="86" t="s">
        <v>90</v>
      </c>
      <c r="O24" s="87"/>
      <c r="P24" s="88"/>
    </row>
    <row r="25" ht="90.0" customHeight="1">
      <c r="A25" s="60">
        <v>23.0</v>
      </c>
      <c r="B25" s="94"/>
      <c r="C25" s="81" t="s">
        <v>163</v>
      </c>
      <c r="D25" s="91" t="s">
        <v>164</v>
      </c>
      <c r="E25" s="95"/>
      <c r="F25" s="82" t="s">
        <v>87</v>
      </c>
      <c r="G25" s="83">
        <v>25980.0</v>
      </c>
      <c r="H25" s="83">
        <v>1.0</v>
      </c>
      <c r="I25" s="84">
        <f t="shared" si="1"/>
        <v>0.00003849114704</v>
      </c>
      <c r="J25" s="85"/>
      <c r="K25" s="86" t="s">
        <v>127</v>
      </c>
      <c r="L25" s="86" t="s">
        <v>25</v>
      </c>
      <c r="M25" s="86" t="s">
        <v>97</v>
      </c>
      <c r="N25" s="86" t="s">
        <v>90</v>
      </c>
      <c r="O25" s="87"/>
      <c r="P25" s="88"/>
    </row>
    <row r="26" ht="90.0" customHeight="1">
      <c r="A26" s="60">
        <v>24.0</v>
      </c>
      <c r="B26" s="94"/>
      <c r="C26" s="81" t="s">
        <v>165</v>
      </c>
      <c r="D26" s="91" t="s">
        <v>166</v>
      </c>
      <c r="E26" s="95"/>
      <c r="F26" s="82" t="s">
        <v>87</v>
      </c>
      <c r="G26" s="83">
        <v>25980.0</v>
      </c>
      <c r="H26" s="83">
        <v>1895.0</v>
      </c>
      <c r="I26" s="84">
        <f t="shared" si="1"/>
        <v>0.07294072363</v>
      </c>
      <c r="J26" s="85"/>
      <c r="K26" s="86" t="s">
        <v>127</v>
      </c>
      <c r="L26" s="86" t="s">
        <v>25</v>
      </c>
      <c r="M26" s="86" t="s">
        <v>97</v>
      </c>
      <c r="N26" s="86" t="s">
        <v>90</v>
      </c>
      <c r="O26" s="87"/>
      <c r="P26" s="88"/>
    </row>
    <row r="27" ht="90.0" customHeight="1">
      <c r="A27" s="60">
        <v>25.0</v>
      </c>
      <c r="B27" s="94"/>
      <c r="C27" s="81" t="s">
        <v>167</v>
      </c>
      <c r="D27" s="91" t="s">
        <v>168</v>
      </c>
      <c r="E27" s="95"/>
      <c r="F27" s="82" t="s">
        <v>87</v>
      </c>
      <c r="G27" s="83">
        <v>25980.0</v>
      </c>
      <c r="H27" s="83">
        <v>68.0</v>
      </c>
      <c r="I27" s="84">
        <f t="shared" si="1"/>
        <v>0.002617397998</v>
      </c>
      <c r="J27" s="85"/>
      <c r="K27" s="86" t="s">
        <v>127</v>
      </c>
      <c r="L27" s="86" t="s">
        <v>25</v>
      </c>
      <c r="M27" s="86" t="s">
        <v>97</v>
      </c>
      <c r="N27" s="86" t="s">
        <v>90</v>
      </c>
      <c r="O27" s="87"/>
      <c r="P27" s="88"/>
    </row>
    <row r="28" ht="90.0" customHeight="1">
      <c r="A28" s="60">
        <v>26.0</v>
      </c>
      <c r="B28" s="94"/>
      <c r="C28" s="81" t="s">
        <v>169</v>
      </c>
      <c r="D28" s="91" t="s">
        <v>170</v>
      </c>
      <c r="E28" s="95"/>
      <c r="F28" s="82" t="s">
        <v>87</v>
      </c>
      <c r="G28" s="83">
        <v>25980.0</v>
      </c>
      <c r="H28" s="83">
        <v>113.0</v>
      </c>
      <c r="I28" s="84">
        <f t="shared" si="1"/>
        <v>0.004349499615</v>
      </c>
      <c r="J28" s="85"/>
      <c r="K28" s="86" t="s">
        <v>127</v>
      </c>
      <c r="L28" s="86" t="s">
        <v>25</v>
      </c>
      <c r="M28" s="86" t="s">
        <v>97</v>
      </c>
      <c r="N28" s="86" t="s">
        <v>90</v>
      </c>
      <c r="O28" s="87"/>
      <c r="P28" s="88"/>
    </row>
    <row r="29">
      <c r="A29" s="96"/>
    </row>
    <row r="30">
      <c r="A30" s="96"/>
    </row>
    <row r="31">
      <c r="A31" s="96"/>
    </row>
    <row r="32">
      <c r="A32" s="96"/>
    </row>
    <row r="33">
      <c r="A33" s="96"/>
    </row>
    <row r="34">
      <c r="A34" s="96"/>
    </row>
    <row r="35">
      <c r="A35" s="96"/>
    </row>
    <row r="36">
      <c r="A36" s="96"/>
    </row>
    <row r="37">
      <c r="A37" s="96"/>
    </row>
    <row r="38">
      <c r="A38" s="96"/>
    </row>
    <row r="39">
      <c r="A39" s="96"/>
    </row>
    <row r="40">
      <c r="A40" s="96"/>
    </row>
    <row r="41">
      <c r="A41" s="96"/>
    </row>
    <row r="42">
      <c r="A42" s="96"/>
    </row>
    <row r="43">
      <c r="A43" s="96"/>
    </row>
    <row r="44">
      <c r="A44" s="96"/>
    </row>
    <row r="45">
      <c r="A45" s="96"/>
    </row>
    <row r="46">
      <c r="A46" s="96"/>
    </row>
    <row r="47">
      <c r="A47" s="96"/>
    </row>
    <row r="48">
      <c r="A48" s="96"/>
    </row>
    <row r="49">
      <c r="A49" s="96"/>
    </row>
    <row r="50">
      <c r="A50" s="96"/>
    </row>
    <row r="51">
      <c r="A51" s="96"/>
    </row>
    <row r="52">
      <c r="A52" s="96"/>
    </row>
    <row r="53">
      <c r="A53" s="96"/>
    </row>
    <row r="54">
      <c r="A54" s="96"/>
    </row>
    <row r="55">
      <c r="A55" s="96"/>
    </row>
    <row r="56">
      <c r="A56" s="96"/>
    </row>
    <row r="57">
      <c r="A57" s="96"/>
    </row>
    <row r="58">
      <c r="A58" s="96"/>
    </row>
    <row r="59">
      <c r="A59" s="96"/>
    </row>
    <row r="60">
      <c r="A60" s="96"/>
    </row>
    <row r="61">
      <c r="A61" s="96"/>
    </row>
    <row r="62">
      <c r="A62" s="96"/>
    </row>
    <row r="63">
      <c r="A63" s="96"/>
    </row>
    <row r="64">
      <c r="A64" s="96"/>
    </row>
    <row r="65">
      <c r="A65" s="96"/>
    </row>
    <row r="66">
      <c r="A66" s="96"/>
    </row>
    <row r="67">
      <c r="A67" s="96"/>
    </row>
    <row r="68">
      <c r="A68" s="96"/>
    </row>
    <row r="69">
      <c r="A69" s="96"/>
    </row>
    <row r="70">
      <c r="A70" s="96"/>
    </row>
    <row r="71">
      <c r="A71" s="96"/>
    </row>
    <row r="72">
      <c r="A72" s="96"/>
    </row>
    <row r="73">
      <c r="A73" s="96"/>
    </row>
    <row r="74">
      <c r="A74" s="96"/>
    </row>
    <row r="75">
      <c r="A75" s="96"/>
    </row>
    <row r="76">
      <c r="A76" s="96"/>
    </row>
    <row r="77">
      <c r="A77" s="96"/>
    </row>
    <row r="78">
      <c r="A78" s="96"/>
    </row>
    <row r="79">
      <c r="A79" s="96"/>
    </row>
    <row r="80">
      <c r="A80" s="96"/>
    </row>
    <row r="81">
      <c r="A81" s="96"/>
    </row>
    <row r="82">
      <c r="A82" s="96"/>
    </row>
    <row r="83">
      <c r="A83" s="96"/>
    </row>
    <row r="84">
      <c r="A84" s="96"/>
    </row>
    <row r="85">
      <c r="A85" s="96"/>
    </row>
    <row r="86">
      <c r="A86" s="96"/>
    </row>
    <row r="87">
      <c r="A87" s="96"/>
    </row>
    <row r="88">
      <c r="A88" s="96"/>
    </row>
    <row r="89">
      <c r="A89" s="96"/>
    </row>
    <row r="90">
      <c r="A90" s="96"/>
    </row>
    <row r="91">
      <c r="A91" s="96"/>
    </row>
    <row r="92">
      <c r="A92" s="96"/>
    </row>
    <row r="93">
      <c r="A93" s="96"/>
    </row>
    <row r="94">
      <c r="A94" s="96"/>
    </row>
    <row r="95">
      <c r="A95" s="96"/>
    </row>
    <row r="96">
      <c r="A96" s="96"/>
    </row>
    <row r="97">
      <c r="A97" s="96"/>
    </row>
    <row r="98">
      <c r="A98" s="96"/>
    </row>
    <row r="99">
      <c r="A99" s="96"/>
    </row>
    <row r="100">
      <c r="A100" s="96"/>
    </row>
    <row r="101">
      <c r="A101" s="96"/>
    </row>
    <row r="102">
      <c r="A102" s="96"/>
    </row>
    <row r="103">
      <c r="A103" s="96"/>
    </row>
    <row r="104">
      <c r="A104" s="96"/>
    </row>
    <row r="105">
      <c r="A105" s="96"/>
    </row>
    <row r="106">
      <c r="A106" s="96"/>
    </row>
    <row r="107">
      <c r="A107" s="96"/>
    </row>
    <row r="108">
      <c r="A108" s="96"/>
    </row>
    <row r="109">
      <c r="A109" s="96"/>
    </row>
    <row r="110">
      <c r="A110" s="96"/>
    </row>
    <row r="111">
      <c r="A111" s="96"/>
    </row>
    <row r="112">
      <c r="A112" s="96"/>
    </row>
    <row r="113">
      <c r="A113" s="96"/>
    </row>
    <row r="114">
      <c r="A114" s="96"/>
    </row>
    <row r="115">
      <c r="A115" s="96"/>
    </row>
    <row r="116">
      <c r="A116" s="96"/>
    </row>
    <row r="117">
      <c r="A117" s="96"/>
    </row>
    <row r="118">
      <c r="A118" s="96"/>
    </row>
    <row r="119">
      <c r="A119" s="96"/>
    </row>
    <row r="120">
      <c r="A120" s="96"/>
    </row>
    <row r="121">
      <c r="A121" s="96"/>
    </row>
    <row r="122">
      <c r="A122" s="96"/>
    </row>
    <row r="123">
      <c r="A123" s="96"/>
    </row>
    <row r="124">
      <c r="A124" s="96"/>
    </row>
    <row r="125">
      <c r="A125" s="96"/>
    </row>
    <row r="126">
      <c r="A126" s="96"/>
    </row>
    <row r="127">
      <c r="A127" s="96"/>
    </row>
    <row r="128">
      <c r="A128" s="96"/>
    </row>
    <row r="129">
      <c r="A129" s="96"/>
    </row>
    <row r="130">
      <c r="A130" s="96"/>
    </row>
    <row r="131">
      <c r="A131" s="96"/>
    </row>
    <row r="132">
      <c r="A132" s="96"/>
    </row>
    <row r="133">
      <c r="A133" s="96"/>
    </row>
    <row r="134">
      <c r="A134" s="96"/>
    </row>
    <row r="135">
      <c r="A135" s="96"/>
    </row>
    <row r="136">
      <c r="A136" s="96"/>
    </row>
    <row r="137">
      <c r="A137" s="96"/>
    </row>
    <row r="138">
      <c r="A138" s="96"/>
    </row>
    <row r="139">
      <c r="A139" s="96"/>
    </row>
    <row r="140">
      <c r="A140" s="96"/>
    </row>
    <row r="141">
      <c r="A141" s="96"/>
    </row>
    <row r="142">
      <c r="A142" s="96"/>
    </row>
    <row r="143">
      <c r="A143" s="96"/>
    </row>
    <row r="144">
      <c r="A144" s="96"/>
    </row>
    <row r="145">
      <c r="A145" s="96"/>
    </row>
    <row r="146">
      <c r="A146" s="96"/>
    </row>
    <row r="147">
      <c r="A147" s="96"/>
    </row>
    <row r="148">
      <c r="A148" s="96"/>
    </row>
    <row r="149">
      <c r="A149" s="96"/>
    </row>
    <row r="150">
      <c r="A150" s="96"/>
    </row>
    <row r="151">
      <c r="A151" s="96"/>
    </row>
    <row r="152">
      <c r="A152" s="96"/>
    </row>
    <row r="153">
      <c r="A153" s="96"/>
    </row>
    <row r="154">
      <c r="A154" s="96"/>
    </row>
    <row r="155">
      <c r="A155" s="96"/>
    </row>
    <row r="156">
      <c r="A156" s="96"/>
    </row>
    <row r="157">
      <c r="A157" s="96"/>
    </row>
    <row r="158">
      <c r="A158" s="96"/>
    </row>
    <row r="159">
      <c r="A159" s="96"/>
    </row>
    <row r="160">
      <c r="A160" s="96"/>
    </row>
    <row r="161">
      <c r="A161" s="96"/>
    </row>
    <row r="162">
      <c r="A162" s="96"/>
    </row>
    <row r="163">
      <c r="A163" s="96"/>
    </row>
    <row r="164">
      <c r="A164" s="96"/>
    </row>
    <row r="165">
      <c r="A165" s="96"/>
    </row>
    <row r="166">
      <c r="A166" s="96"/>
    </row>
    <row r="167">
      <c r="A167" s="96"/>
    </row>
    <row r="168">
      <c r="A168" s="96"/>
    </row>
    <row r="169">
      <c r="A169" s="96"/>
    </row>
    <row r="170">
      <c r="A170" s="96"/>
    </row>
    <row r="171">
      <c r="A171" s="96"/>
    </row>
    <row r="172">
      <c r="A172" s="96"/>
    </row>
    <row r="173">
      <c r="A173" s="96"/>
    </row>
    <row r="174">
      <c r="A174" s="96"/>
    </row>
    <row r="175">
      <c r="A175" s="96"/>
    </row>
    <row r="176">
      <c r="A176" s="96"/>
    </row>
    <row r="177">
      <c r="A177" s="96"/>
    </row>
    <row r="178">
      <c r="A178" s="96"/>
    </row>
    <row r="179">
      <c r="A179" s="96"/>
    </row>
    <row r="180">
      <c r="A180" s="96"/>
    </row>
    <row r="181">
      <c r="A181" s="96"/>
    </row>
    <row r="182">
      <c r="A182" s="96"/>
    </row>
    <row r="183">
      <c r="A183" s="96"/>
    </row>
    <row r="184">
      <c r="A184" s="96"/>
    </row>
    <row r="185">
      <c r="A185" s="96"/>
    </row>
    <row r="186">
      <c r="A186" s="96"/>
    </row>
    <row r="187">
      <c r="A187" s="96"/>
    </row>
    <row r="188">
      <c r="A188" s="96"/>
    </row>
    <row r="189">
      <c r="A189" s="96"/>
    </row>
    <row r="190">
      <c r="A190" s="96"/>
    </row>
    <row r="191">
      <c r="A191" s="96"/>
    </row>
    <row r="192">
      <c r="A192" s="96"/>
    </row>
    <row r="193">
      <c r="A193" s="96"/>
    </row>
    <row r="194">
      <c r="A194" s="96"/>
    </row>
    <row r="195">
      <c r="A195" s="96"/>
    </row>
    <row r="196">
      <c r="A196" s="96"/>
    </row>
    <row r="197">
      <c r="A197" s="96"/>
    </row>
    <row r="198">
      <c r="A198" s="96"/>
    </row>
    <row r="199">
      <c r="A199" s="96"/>
    </row>
    <row r="200">
      <c r="A200" s="96"/>
    </row>
    <row r="201">
      <c r="A201" s="96"/>
    </row>
    <row r="202">
      <c r="A202" s="96"/>
    </row>
    <row r="203">
      <c r="A203" s="96"/>
    </row>
    <row r="204">
      <c r="A204" s="96"/>
    </row>
    <row r="205">
      <c r="A205" s="96"/>
    </row>
    <row r="206">
      <c r="A206" s="96"/>
    </row>
    <row r="207">
      <c r="A207" s="96"/>
    </row>
    <row r="208">
      <c r="A208" s="96"/>
    </row>
    <row r="209">
      <c r="A209" s="96"/>
    </row>
    <row r="210">
      <c r="A210" s="96"/>
    </row>
    <row r="211">
      <c r="A211" s="96"/>
    </row>
    <row r="212">
      <c r="A212" s="96"/>
    </row>
    <row r="213">
      <c r="A213" s="96"/>
    </row>
    <row r="214">
      <c r="A214" s="96"/>
    </row>
    <row r="215">
      <c r="A215" s="96"/>
    </row>
    <row r="216">
      <c r="A216" s="96"/>
    </row>
    <row r="217">
      <c r="A217" s="96"/>
    </row>
    <row r="218">
      <c r="A218" s="96"/>
    </row>
    <row r="219">
      <c r="A219" s="96"/>
    </row>
    <row r="220">
      <c r="A220" s="96"/>
    </row>
    <row r="221">
      <c r="A221" s="96"/>
    </row>
    <row r="222">
      <c r="A222" s="96"/>
    </row>
    <row r="223">
      <c r="A223" s="96"/>
    </row>
    <row r="224">
      <c r="A224" s="96"/>
    </row>
    <row r="225">
      <c r="A225" s="96"/>
    </row>
    <row r="226">
      <c r="A226" s="96"/>
    </row>
    <row r="227">
      <c r="A227" s="96"/>
    </row>
    <row r="228">
      <c r="A228" s="96"/>
    </row>
    <row r="229">
      <c r="A229" s="96"/>
    </row>
    <row r="230">
      <c r="A230" s="96"/>
    </row>
    <row r="231">
      <c r="A231" s="96"/>
    </row>
    <row r="232">
      <c r="A232" s="96"/>
    </row>
    <row r="233">
      <c r="A233" s="96"/>
    </row>
    <row r="234">
      <c r="A234" s="96"/>
    </row>
    <row r="235">
      <c r="A235" s="96"/>
    </row>
    <row r="236">
      <c r="A236" s="96"/>
    </row>
    <row r="237">
      <c r="A237" s="96"/>
    </row>
    <row r="238">
      <c r="A238" s="96"/>
    </row>
    <row r="239">
      <c r="A239" s="96"/>
    </row>
    <row r="240">
      <c r="A240" s="96"/>
    </row>
    <row r="241">
      <c r="A241" s="96"/>
    </row>
    <row r="242">
      <c r="A242" s="96"/>
    </row>
    <row r="243">
      <c r="A243" s="96"/>
    </row>
    <row r="244">
      <c r="A244" s="96"/>
    </row>
    <row r="245">
      <c r="A245" s="96"/>
    </row>
    <row r="246">
      <c r="A246" s="96"/>
    </row>
    <row r="247">
      <c r="A247" s="96"/>
    </row>
    <row r="248">
      <c r="A248" s="96"/>
    </row>
    <row r="249">
      <c r="A249" s="96"/>
    </row>
    <row r="250">
      <c r="A250" s="96"/>
    </row>
    <row r="251">
      <c r="A251" s="96"/>
    </row>
    <row r="252">
      <c r="A252" s="96"/>
    </row>
    <row r="253">
      <c r="A253" s="96"/>
    </row>
    <row r="254">
      <c r="A254" s="96"/>
    </row>
    <row r="255">
      <c r="A255" s="96"/>
    </row>
    <row r="256">
      <c r="A256" s="96"/>
    </row>
    <row r="257">
      <c r="A257" s="96"/>
    </row>
    <row r="258">
      <c r="A258" s="96"/>
    </row>
    <row r="259">
      <c r="A259" s="96"/>
    </row>
    <row r="260">
      <c r="A260" s="96"/>
    </row>
    <row r="261">
      <c r="A261" s="96"/>
    </row>
    <row r="262">
      <c r="A262" s="96"/>
    </row>
    <row r="263">
      <c r="A263" s="96"/>
    </row>
    <row r="264">
      <c r="A264" s="96"/>
    </row>
    <row r="265">
      <c r="A265" s="96"/>
    </row>
    <row r="266">
      <c r="A266" s="96"/>
    </row>
    <row r="267">
      <c r="A267" s="96"/>
    </row>
    <row r="268">
      <c r="A268" s="96"/>
    </row>
    <row r="269">
      <c r="A269" s="96"/>
    </row>
    <row r="270">
      <c r="A270" s="96"/>
    </row>
    <row r="271">
      <c r="A271" s="96"/>
    </row>
    <row r="272">
      <c r="A272" s="96"/>
    </row>
    <row r="273">
      <c r="A273" s="96"/>
    </row>
    <row r="274">
      <c r="A274" s="96"/>
    </row>
    <row r="275">
      <c r="A275" s="96"/>
    </row>
    <row r="276">
      <c r="A276" s="96"/>
    </row>
    <row r="277">
      <c r="A277" s="96"/>
    </row>
    <row r="278">
      <c r="A278" s="96"/>
    </row>
    <row r="279">
      <c r="A279" s="96"/>
    </row>
    <row r="280">
      <c r="A280" s="96"/>
    </row>
    <row r="281">
      <c r="A281" s="96"/>
    </row>
    <row r="282">
      <c r="A282" s="96"/>
    </row>
    <row r="283">
      <c r="A283" s="96"/>
    </row>
    <row r="284">
      <c r="A284" s="96"/>
    </row>
    <row r="285">
      <c r="A285" s="96"/>
    </row>
    <row r="286">
      <c r="A286" s="96"/>
    </row>
    <row r="287">
      <c r="A287" s="96"/>
    </row>
    <row r="288">
      <c r="A288" s="96"/>
    </row>
    <row r="289">
      <c r="A289" s="96"/>
    </row>
    <row r="290">
      <c r="A290" s="96"/>
    </row>
    <row r="291">
      <c r="A291" s="96"/>
    </row>
    <row r="292">
      <c r="A292" s="96"/>
    </row>
    <row r="293">
      <c r="A293" s="96"/>
    </row>
    <row r="294">
      <c r="A294" s="96"/>
    </row>
    <row r="295">
      <c r="A295" s="96"/>
    </row>
    <row r="296">
      <c r="A296" s="96"/>
    </row>
    <row r="297">
      <c r="A297" s="96"/>
    </row>
    <row r="298">
      <c r="A298" s="96"/>
    </row>
    <row r="299">
      <c r="A299" s="96"/>
    </row>
    <row r="300">
      <c r="A300" s="96"/>
    </row>
    <row r="301">
      <c r="A301" s="96"/>
    </row>
    <row r="302">
      <c r="A302" s="96"/>
    </row>
    <row r="303">
      <c r="A303" s="96"/>
    </row>
    <row r="304">
      <c r="A304" s="96"/>
    </row>
    <row r="305">
      <c r="A305" s="96"/>
    </row>
    <row r="306">
      <c r="A306" s="96"/>
    </row>
    <row r="307">
      <c r="A307" s="96"/>
    </row>
    <row r="308">
      <c r="A308" s="96"/>
    </row>
    <row r="309">
      <c r="A309" s="96"/>
    </row>
    <row r="310">
      <c r="A310" s="96"/>
    </row>
    <row r="311">
      <c r="A311" s="96"/>
    </row>
    <row r="312">
      <c r="A312" s="96"/>
    </row>
    <row r="313">
      <c r="A313" s="96"/>
    </row>
    <row r="314">
      <c r="A314" s="96"/>
    </row>
    <row r="315">
      <c r="A315" s="96"/>
    </row>
    <row r="316">
      <c r="A316" s="96"/>
    </row>
    <row r="317">
      <c r="A317" s="96"/>
    </row>
    <row r="318">
      <c r="A318" s="96"/>
    </row>
    <row r="319">
      <c r="A319" s="96"/>
    </row>
    <row r="320">
      <c r="A320" s="96"/>
    </row>
    <row r="321">
      <c r="A321" s="96"/>
    </row>
    <row r="322">
      <c r="A322" s="96"/>
    </row>
    <row r="323">
      <c r="A323" s="96"/>
    </row>
    <row r="324">
      <c r="A324" s="96"/>
    </row>
    <row r="325">
      <c r="A325" s="96"/>
    </row>
    <row r="326">
      <c r="A326" s="96"/>
    </row>
    <row r="327">
      <c r="A327" s="96"/>
    </row>
    <row r="328">
      <c r="A328" s="96"/>
    </row>
    <row r="329">
      <c r="A329" s="96"/>
    </row>
    <row r="330">
      <c r="A330" s="96"/>
    </row>
    <row r="331">
      <c r="A331" s="96"/>
    </row>
    <row r="332">
      <c r="A332" s="96"/>
    </row>
    <row r="333">
      <c r="A333" s="96"/>
    </row>
    <row r="334">
      <c r="A334" s="96"/>
    </row>
    <row r="335">
      <c r="A335" s="96"/>
    </row>
    <row r="336">
      <c r="A336" s="96"/>
    </row>
    <row r="337">
      <c r="A337" s="96"/>
    </row>
    <row r="338">
      <c r="A338" s="96"/>
    </row>
    <row r="339">
      <c r="A339" s="96"/>
    </row>
    <row r="340">
      <c r="A340" s="96"/>
    </row>
    <row r="341">
      <c r="A341" s="96"/>
    </row>
    <row r="342">
      <c r="A342" s="96"/>
    </row>
    <row r="343">
      <c r="A343" s="96"/>
    </row>
    <row r="344">
      <c r="A344" s="96"/>
    </row>
    <row r="345">
      <c r="A345" s="96"/>
    </row>
    <row r="346">
      <c r="A346" s="96"/>
    </row>
    <row r="347">
      <c r="A347" s="96"/>
    </row>
    <row r="348">
      <c r="A348" s="96"/>
    </row>
    <row r="349">
      <c r="A349" s="96"/>
    </row>
    <row r="350">
      <c r="A350" s="96"/>
    </row>
    <row r="351">
      <c r="A351" s="96"/>
    </row>
    <row r="352">
      <c r="A352" s="96"/>
    </row>
    <row r="353">
      <c r="A353" s="96"/>
    </row>
    <row r="354">
      <c r="A354" s="96"/>
    </row>
    <row r="355">
      <c r="A355" s="96"/>
    </row>
    <row r="356">
      <c r="A356" s="96"/>
    </row>
    <row r="357">
      <c r="A357" s="96"/>
    </row>
    <row r="358">
      <c r="A358" s="96"/>
    </row>
    <row r="359">
      <c r="A359" s="96"/>
    </row>
    <row r="360">
      <c r="A360" s="96"/>
    </row>
    <row r="361">
      <c r="A361" s="96"/>
    </row>
    <row r="362">
      <c r="A362" s="96"/>
    </row>
    <row r="363">
      <c r="A363" s="96"/>
    </row>
    <row r="364">
      <c r="A364" s="96"/>
    </row>
    <row r="365">
      <c r="A365" s="96"/>
    </row>
    <row r="366">
      <c r="A366" s="96"/>
    </row>
    <row r="367">
      <c r="A367" s="96"/>
    </row>
    <row r="368">
      <c r="A368" s="96"/>
    </row>
    <row r="369">
      <c r="A369" s="96"/>
    </row>
    <row r="370">
      <c r="A370" s="96"/>
    </row>
    <row r="371">
      <c r="A371" s="96"/>
    </row>
    <row r="372">
      <c r="A372" s="96"/>
    </row>
    <row r="373">
      <c r="A373" s="96"/>
    </row>
    <row r="374">
      <c r="A374" s="96"/>
    </row>
    <row r="375">
      <c r="A375" s="96"/>
    </row>
    <row r="376">
      <c r="A376" s="96"/>
    </row>
    <row r="377">
      <c r="A377" s="96"/>
    </row>
    <row r="378">
      <c r="A378" s="96"/>
    </row>
    <row r="379">
      <c r="A379" s="96"/>
    </row>
    <row r="380">
      <c r="A380" s="96"/>
    </row>
    <row r="381">
      <c r="A381" s="96"/>
    </row>
    <row r="382">
      <c r="A382" s="96"/>
    </row>
    <row r="383">
      <c r="A383" s="96"/>
    </row>
    <row r="384">
      <c r="A384" s="96"/>
    </row>
    <row r="385">
      <c r="A385" s="96"/>
    </row>
    <row r="386">
      <c r="A386" s="96"/>
    </row>
    <row r="387">
      <c r="A387" s="96"/>
    </row>
    <row r="388">
      <c r="A388" s="96"/>
    </row>
    <row r="389">
      <c r="A389" s="96"/>
    </row>
    <row r="390">
      <c r="A390" s="96"/>
    </row>
    <row r="391">
      <c r="A391" s="96"/>
    </row>
    <row r="392">
      <c r="A392" s="96"/>
    </row>
    <row r="393">
      <c r="A393" s="96"/>
    </row>
    <row r="394">
      <c r="A394" s="96"/>
    </row>
    <row r="395">
      <c r="A395" s="96"/>
    </row>
    <row r="396">
      <c r="A396" s="96"/>
    </row>
    <row r="397">
      <c r="A397" s="96"/>
    </row>
    <row r="398">
      <c r="A398" s="96"/>
    </row>
    <row r="399">
      <c r="A399" s="96"/>
    </row>
    <row r="400">
      <c r="A400" s="96"/>
    </row>
    <row r="401">
      <c r="A401" s="96"/>
    </row>
    <row r="402">
      <c r="A402" s="96"/>
    </row>
    <row r="403">
      <c r="A403" s="96"/>
    </row>
    <row r="404">
      <c r="A404" s="96"/>
    </row>
    <row r="405">
      <c r="A405" s="96"/>
    </row>
    <row r="406">
      <c r="A406" s="96"/>
    </row>
    <row r="407">
      <c r="A407" s="96"/>
    </row>
    <row r="408">
      <c r="A408" s="96"/>
    </row>
    <row r="409">
      <c r="A409" s="96"/>
    </row>
    <row r="410">
      <c r="A410" s="96"/>
    </row>
    <row r="411">
      <c r="A411" s="96"/>
    </row>
    <row r="412">
      <c r="A412" s="96"/>
    </row>
    <row r="413">
      <c r="A413" s="96"/>
    </row>
    <row r="414">
      <c r="A414" s="96"/>
    </row>
    <row r="415">
      <c r="A415" s="96"/>
    </row>
    <row r="416">
      <c r="A416" s="96"/>
    </row>
    <row r="417">
      <c r="A417" s="96"/>
    </row>
    <row r="418">
      <c r="A418" s="96"/>
    </row>
    <row r="419">
      <c r="A419" s="96"/>
    </row>
    <row r="420">
      <c r="A420" s="96"/>
    </row>
    <row r="421">
      <c r="A421" s="96"/>
    </row>
    <row r="422">
      <c r="A422" s="96"/>
    </row>
    <row r="423">
      <c r="A423" s="96"/>
    </row>
    <row r="424">
      <c r="A424" s="96"/>
    </row>
    <row r="425">
      <c r="A425" s="96"/>
    </row>
    <row r="426">
      <c r="A426" s="96"/>
    </row>
    <row r="427">
      <c r="A427" s="96"/>
    </row>
    <row r="428">
      <c r="A428" s="96"/>
    </row>
    <row r="429">
      <c r="A429" s="96"/>
    </row>
    <row r="430">
      <c r="A430" s="96"/>
    </row>
    <row r="431">
      <c r="A431" s="96"/>
    </row>
    <row r="432">
      <c r="A432" s="96"/>
    </row>
    <row r="433">
      <c r="A433" s="96"/>
    </row>
    <row r="434">
      <c r="A434" s="96"/>
    </row>
    <row r="435">
      <c r="A435" s="96"/>
    </row>
    <row r="436">
      <c r="A436" s="96"/>
    </row>
    <row r="437">
      <c r="A437" s="96"/>
    </row>
    <row r="438">
      <c r="A438" s="96"/>
    </row>
    <row r="439">
      <c r="A439" s="96"/>
    </row>
    <row r="440">
      <c r="A440" s="96"/>
    </row>
    <row r="441">
      <c r="A441" s="96"/>
    </row>
    <row r="442">
      <c r="A442" s="96"/>
    </row>
    <row r="443">
      <c r="A443" s="96"/>
    </row>
    <row r="444">
      <c r="A444" s="96"/>
    </row>
    <row r="445">
      <c r="A445" s="96"/>
    </row>
    <row r="446">
      <c r="A446" s="96"/>
    </row>
    <row r="447">
      <c r="A447" s="96"/>
    </row>
    <row r="448">
      <c r="A448" s="96"/>
    </row>
    <row r="449">
      <c r="A449" s="96"/>
    </row>
    <row r="450">
      <c r="A450" s="96"/>
    </row>
    <row r="451">
      <c r="A451" s="96"/>
    </row>
    <row r="452">
      <c r="A452" s="96"/>
    </row>
    <row r="453">
      <c r="A453" s="96"/>
    </row>
    <row r="454">
      <c r="A454" s="96"/>
    </row>
    <row r="455">
      <c r="A455" s="96"/>
    </row>
    <row r="456">
      <c r="A456" s="96"/>
    </row>
    <row r="457">
      <c r="A457" s="96"/>
    </row>
    <row r="458">
      <c r="A458" s="96"/>
    </row>
    <row r="459">
      <c r="A459" s="96"/>
    </row>
    <row r="460">
      <c r="A460" s="96"/>
    </row>
    <row r="461">
      <c r="A461" s="96"/>
    </row>
    <row r="462">
      <c r="A462" s="96"/>
    </row>
    <row r="463">
      <c r="A463" s="96"/>
    </row>
    <row r="464">
      <c r="A464" s="96"/>
    </row>
    <row r="465">
      <c r="A465" s="96"/>
    </row>
    <row r="466">
      <c r="A466" s="96"/>
    </row>
    <row r="467">
      <c r="A467" s="96"/>
    </row>
    <row r="468">
      <c r="A468" s="96"/>
    </row>
    <row r="469">
      <c r="A469" s="96"/>
    </row>
    <row r="470">
      <c r="A470" s="96"/>
    </row>
    <row r="471">
      <c r="A471" s="96"/>
    </row>
    <row r="472">
      <c r="A472" s="96"/>
    </row>
    <row r="473">
      <c r="A473" s="96"/>
    </row>
    <row r="474">
      <c r="A474" s="96"/>
    </row>
    <row r="475">
      <c r="A475" s="96"/>
    </row>
    <row r="476">
      <c r="A476" s="96"/>
    </row>
    <row r="477">
      <c r="A477" s="96"/>
    </row>
    <row r="478">
      <c r="A478" s="96"/>
    </row>
    <row r="479">
      <c r="A479" s="96"/>
    </row>
    <row r="480">
      <c r="A480" s="96"/>
    </row>
    <row r="481">
      <c r="A481" s="96"/>
    </row>
    <row r="482">
      <c r="A482" s="96"/>
    </row>
    <row r="483">
      <c r="A483" s="96"/>
    </row>
    <row r="484">
      <c r="A484" s="96"/>
    </row>
    <row r="485">
      <c r="A485" s="96"/>
    </row>
    <row r="486">
      <c r="A486" s="96"/>
    </row>
    <row r="487">
      <c r="A487" s="96"/>
    </row>
    <row r="488">
      <c r="A488" s="96"/>
    </row>
    <row r="489">
      <c r="A489" s="96"/>
    </row>
    <row r="490">
      <c r="A490" s="96"/>
    </row>
    <row r="491">
      <c r="A491" s="96"/>
    </row>
    <row r="492">
      <c r="A492" s="96"/>
    </row>
    <row r="493">
      <c r="A493" s="96"/>
    </row>
    <row r="494">
      <c r="A494" s="96"/>
    </row>
    <row r="495">
      <c r="A495" s="96"/>
    </row>
    <row r="496">
      <c r="A496" s="96"/>
    </row>
    <row r="497">
      <c r="A497" s="96"/>
    </row>
    <row r="498">
      <c r="A498" s="96"/>
    </row>
    <row r="499">
      <c r="A499" s="96"/>
    </row>
    <row r="500">
      <c r="A500" s="96"/>
    </row>
    <row r="501">
      <c r="A501" s="96"/>
    </row>
    <row r="502">
      <c r="A502" s="96"/>
    </row>
    <row r="503">
      <c r="A503" s="96"/>
    </row>
    <row r="504">
      <c r="A504" s="96"/>
    </row>
    <row r="505">
      <c r="A505" s="96"/>
    </row>
    <row r="506">
      <c r="A506" s="96"/>
    </row>
    <row r="507">
      <c r="A507" s="96"/>
    </row>
    <row r="508">
      <c r="A508" s="96"/>
    </row>
    <row r="509">
      <c r="A509" s="96"/>
    </row>
    <row r="510">
      <c r="A510" s="96"/>
    </row>
    <row r="511">
      <c r="A511" s="96"/>
    </row>
    <row r="512">
      <c r="A512" s="96"/>
    </row>
    <row r="513">
      <c r="A513" s="96"/>
    </row>
    <row r="514">
      <c r="A514" s="96"/>
    </row>
    <row r="515">
      <c r="A515" s="96"/>
    </row>
    <row r="516">
      <c r="A516" s="96"/>
    </row>
    <row r="517">
      <c r="A517" s="96"/>
    </row>
    <row r="518">
      <c r="A518" s="96"/>
    </row>
    <row r="519">
      <c r="A519" s="96"/>
    </row>
    <row r="520">
      <c r="A520" s="96"/>
    </row>
    <row r="521">
      <c r="A521" s="96"/>
    </row>
    <row r="522">
      <c r="A522" s="96"/>
    </row>
    <row r="523">
      <c r="A523" s="96"/>
    </row>
    <row r="524">
      <c r="A524" s="96"/>
    </row>
    <row r="525">
      <c r="A525" s="96"/>
    </row>
    <row r="526">
      <c r="A526" s="96"/>
    </row>
    <row r="527">
      <c r="A527" s="96"/>
    </row>
    <row r="528">
      <c r="A528" s="96"/>
    </row>
    <row r="529">
      <c r="A529" s="96"/>
    </row>
    <row r="530">
      <c r="A530" s="96"/>
    </row>
    <row r="531">
      <c r="A531" s="96"/>
    </row>
    <row r="532">
      <c r="A532" s="96"/>
    </row>
    <row r="533">
      <c r="A533" s="96"/>
    </row>
    <row r="534">
      <c r="A534" s="96"/>
    </row>
    <row r="535">
      <c r="A535" s="96"/>
    </row>
    <row r="536">
      <c r="A536" s="96"/>
    </row>
    <row r="537">
      <c r="A537" s="96"/>
    </row>
    <row r="538">
      <c r="A538" s="96"/>
    </row>
    <row r="539">
      <c r="A539" s="96"/>
    </row>
    <row r="540">
      <c r="A540" s="96"/>
    </row>
    <row r="541">
      <c r="A541" s="96"/>
    </row>
    <row r="542">
      <c r="A542" s="96"/>
    </row>
    <row r="543">
      <c r="A543" s="96"/>
    </row>
    <row r="544">
      <c r="A544" s="96"/>
    </row>
    <row r="545">
      <c r="A545" s="96"/>
    </row>
    <row r="546">
      <c r="A546" s="96"/>
    </row>
    <row r="547">
      <c r="A547" s="96"/>
    </row>
    <row r="548">
      <c r="A548" s="96"/>
    </row>
    <row r="549">
      <c r="A549" s="96"/>
    </row>
    <row r="550">
      <c r="A550" s="96"/>
    </row>
    <row r="551">
      <c r="A551" s="96"/>
    </row>
    <row r="552">
      <c r="A552" s="96"/>
    </row>
    <row r="553">
      <c r="A553" s="96"/>
    </row>
    <row r="554">
      <c r="A554" s="96"/>
    </row>
    <row r="555">
      <c r="A555" s="96"/>
    </row>
    <row r="556">
      <c r="A556" s="96"/>
    </row>
    <row r="557">
      <c r="A557" s="96"/>
    </row>
    <row r="558">
      <c r="A558" s="96"/>
    </row>
    <row r="559">
      <c r="A559" s="96"/>
    </row>
    <row r="560">
      <c r="A560" s="96"/>
    </row>
    <row r="561">
      <c r="A561" s="96"/>
    </row>
    <row r="562">
      <c r="A562" s="96"/>
    </row>
    <row r="563">
      <c r="A563" s="96"/>
    </row>
    <row r="564">
      <c r="A564" s="96"/>
    </row>
    <row r="565">
      <c r="A565" s="96"/>
    </row>
    <row r="566">
      <c r="A566" s="96"/>
    </row>
    <row r="567">
      <c r="A567" s="96"/>
    </row>
    <row r="568">
      <c r="A568" s="96"/>
    </row>
    <row r="569">
      <c r="A569" s="96"/>
    </row>
    <row r="570">
      <c r="A570" s="96"/>
    </row>
    <row r="571">
      <c r="A571" s="96"/>
    </row>
    <row r="572">
      <c r="A572" s="96"/>
    </row>
    <row r="573">
      <c r="A573" s="96"/>
    </row>
    <row r="574">
      <c r="A574" s="96"/>
    </row>
    <row r="575">
      <c r="A575" s="96"/>
    </row>
    <row r="576">
      <c r="A576" s="96"/>
    </row>
    <row r="577">
      <c r="A577" s="96"/>
    </row>
    <row r="578">
      <c r="A578" s="96"/>
    </row>
    <row r="579">
      <c r="A579" s="96"/>
    </row>
    <row r="580">
      <c r="A580" s="96"/>
    </row>
    <row r="581">
      <c r="A581" s="96"/>
    </row>
    <row r="582">
      <c r="A582" s="96"/>
    </row>
    <row r="583">
      <c r="A583" s="96"/>
    </row>
    <row r="584">
      <c r="A584" s="96"/>
    </row>
    <row r="585">
      <c r="A585" s="96"/>
    </row>
    <row r="586">
      <c r="A586" s="96"/>
    </row>
    <row r="587">
      <c r="A587" s="96"/>
    </row>
    <row r="588">
      <c r="A588" s="96"/>
    </row>
    <row r="589">
      <c r="A589" s="96"/>
    </row>
    <row r="590">
      <c r="A590" s="96"/>
    </row>
    <row r="591">
      <c r="A591" s="96"/>
    </row>
    <row r="592">
      <c r="A592" s="96"/>
    </row>
    <row r="593">
      <c r="A593" s="96"/>
    </row>
    <row r="594">
      <c r="A594" s="96"/>
    </row>
    <row r="595">
      <c r="A595" s="96"/>
    </row>
    <row r="596">
      <c r="A596" s="96"/>
    </row>
    <row r="597">
      <c r="A597" s="96"/>
    </row>
    <row r="598">
      <c r="A598" s="96"/>
    </row>
    <row r="599">
      <c r="A599" s="96"/>
    </row>
    <row r="600">
      <c r="A600" s="96"/>
    </row>
    <row r="601">
      <c r="A601" s="96"/>
    </row>
    <row r="602">
      <c r="A602" s="96"/>
    </row>
    <row r="603">
      <c r="A603" s="96"/>
    </row>
    <row r="604">
      <c r="A604" s="96"/>
    </row>
    <row r="605">
      <c r="A605" s="96"/>
    </row>
    <row r="606">
      <c r="A606" s="96"/>
    </row>
    <row r="607">
      <c r="A607" s="96"/>
    </row>
    <row r="608">
      <c r="A608" s="96"/>
    </row>
    <row r="609">
      <c r="A609" s="96"/>
    </row>
    <row r="610">
      <c r="A610" s="96"/>
    </row>
    <row r="611">
      <c r="A611" s="96"/>
    </row>
    <row r="612">
      <c r="A612" s="96"/>
    </row>
    <row r="613">
      <c r="A613" s="96"/>
    </row>
    <row r="614">
      <c r="A614" s="96"/>
    </row>
    <row r="615">
      <c r="A615" s="96"/>
    </row>
    <row r="616">
      <c r="A616" s="96"/>
    </row>
    <row r="617">
      <c r="A617" s="96"/>
    </row>
    <row r="618">
      <c r="A618" s="96"/>
    </row>
    <row r="619">
      <c r="A619" s="96"/>
    </row>
    <row r="620">
      <c r="A620" s="96"/>
    </row>
    <row r="621">
      <c r="A621" s="96"/>
    </row>
    <row r="622">
      <c r="A622" s="96"/>
    </row>
    <row r="623">
      <c r="A623" s="96"/>
    </row>
    <row r="624">
      <c r="A624" s="96"/>
    </row>
    <row r="625">
      <c r="A625" s="96"/>
    </row>
    <row r="626">
      <c r="A626" s="96"/>
    </row>
    <row r="627">
      <c r="A627" s="96"/>
    </row>
    <row r="628">
      <c r="A628" s="96"/>
    </row>
    <row r="629">
      <c r="A629" s="96"/>
    </row>
    <row r="630">
      <c r="A630" s="96"/>
    </row>
    <row r="631">
      <c r="A631" s="96"/>
    </row>
    <row r="632">
      <c r="A632" s="96"/>
    </row>
    <row r="633">
      <c r="A633" s="96"/>
    </row>
    <row r="634">
      <c r="A634" s="96"/>
    </row>
    <row r="635">
      <c r="A635" s="96"/>
    </row>
    <row r="636">
      <c r="A636" s="96"/>
    </row>
    <row r="637">
      <c r="A637" s="96"/>
    </row>
    <row r="638">
      <c r="A638" s="96"/>
    </row>
    <row r="639">
      <c r="A639" s="96"/>
    </row>
    <row r="640">
      <c r="A640" s="96"/>
    </row>
    <row r="641">
      <c r="A641" s="96"/>
    </row>
    <row r="642">
      <c r="A642" s="96"/>
    </row>
    <row r="643">
      <c r="A643" s="96"/>
    </row>
    <row r="644">
      <c r="A644" s="96"/>
    </row>
    <row r="645">
      <c r="A645" s="96"/>
    </row>
    <row r="646">
      <c r="A646" s="96"/>
    </row>
    <row r="647">
      <c r="A647" s="96"/>
    </row>
    <row r="648">
      <c r="A648" s="96"/>
    </row>
    <row r="649">
      <c r="A649" s="96"/>
    </row>
    <row r="650">
      <c r="A650" s="96"/>
    </row>
    <row r="651">
      <c r="A651" s="96"/>
    </row>
    <row r="652">
      <c r="A652" s="96"/>
    </row>
    <row r="653">
      <c r="A653" s="96"/>
    </row>
    <row r="654">
      <c r="A654" s="96"/>
    </row>
    <row r="655">
      <c r="A655" s="96"/>
    </row>
    <row r="656">
      <c r="A656" s="96"/>
    </row>
    <row r="657">
      <c r="A657" s="96"/>
    </row>
    <row r="658">
      <c r="A658" s="96"/>
    </row>
    <row r="659">
      <c r="A659" s="96"/>
    </row>
    <row r="660">
      <c r="A660" s="96"/>
    </row>
    <row r="661">
      <c r="A661" s="96"/>
    </row>
    <row r="662">
      <c r="A662" s="96"/>
    </row>
    <row r="663">
      <c r="A663" s="96"/>
    </row>
    <row r="664">
      <c r="A664" s="96"/>
    </row>
    <row r="665">
      <c r="A665" s="96"/>
    </row>
    <row r="666">
      <c r="A666" s="96"/>
    </row>
    <row r="667">
      <c r="A667" s="96"/>
    </row>
    <row r="668">
      <c r="A668" s="96"/>
    </row>
    <row r="669">
      <c r="A669" s="96"/>
    </row>
    <row r="670">
      <c r="A670" s="96"/>
    </row>
    <row r="671">
      <c r="A671" s="96"/>
    </row>
    <row r="672">
      <c r="A672" s="96"/>
    </row>
    <row r="673">
      <c r="A673" s="96"/>
    </row>
    <row r="674">
      <c r="A674" s="96"/>
    </row>
    <row r="675">
      <c r="A675" s="96"/>
    </row>
    <row r="676">
      <c r="A676" s="96"/>
    </row>
    <row r="677">
      <c r="A677" s="96"/>
    </row>
    <row r="678">
      <c r="A678" s="96"/>
    </row>
    <row r="679">
      <c r="A679" s="96"/>
    </row>
    <row r="680">
      <c r="A680" s="96"/>
    </row>
    <row r="681">
      <c r="A681" s="96"/>
    </row>
    <row r="682">
      <c r="A682" s="96"/>
    </row>
    <row r="683">
      <c r="A683" s="96"/>
    </row>
    <row r="684">
      <c r="A684" s="96"/>
    </row>
    <row r="685">
      <c r="A685" s="96"/>
    </row>
    <row r="686">
      <c r="A686" s="96"/>
    </row>
    <row r="687">
      <c r="A687" s="96"/>
    </row>
    <row r="688">
      <c r="A688" s="96"/>
    </row>
    <row r="689">
      <c r="A689" s="96"/>
    </row>
    <row r="690">
      <c r="A690" s="96"/>
    </row>
    <row r="691">
      <c r="A691" s="96"/>
    </row>
    <row r="692">
      <c r="A692" s="96"/>
    </row>
    <row r="693">
      <c r="A693" s="96"/>
    </row>
    <row r="694">
      <c r="A694" s="96"/>
    </row>
    <row r="695">
      <c r="A695" s="96"/>
    </row>
    <row r="696">
      <c r="A696" s="96"/>
    </row>
    <row r="697">
      <c r="A697" s="96"/>
    </row>
    <row r="698">
      <c r="A698" s="96"/>
    </row>
    <row r="699">
      <c r="A699" s="96"/>
    </row>
    <row r="700">
      <c r="A700" s="96"/>
    </row>
    <row r="701">
      <c r="A701" s="96"/>
    </row>
    <row r="702">
      <c r="A702" s="96"/>
    </row>
    <row r="703">
      <c r="A703" s="96"/>
    </row>
    <row r="704">
      <c r="A704" s="96"/>
    </row>
    <row r="705">
      <c r="A705" s="96"/>
    </row>
    <row r="706">
      <c r="A706" s="96"/>
    </row>
    <row r="707">
      <c r="A707" s="96"/>
    </row>
    <row r="708">
      <c r="A708" s="96"/>
    </row>
    <row r="709">
      <c r="A709" s="96"/>
    </row>
    <row r="710">
      <c r="A710" s="96"/>
    </row>
    <row r="711">
      <c r="A711" s="96"/>
    </row>
    <row r="712">
      <c r="A712" s="96"/>
    </row>
    <row r="713">
      <c r="A713" s="96"/>
    </row>
    <row r="714">
      <c r="A714" s="96"/>
    </row>
    <row r="715">
      <c r="A715" s="96"/>
    </row>
    <row r="716">
      <c r="A716" s="96"/>
    </row>
    <row r="717">
      <c r="A717" s="96"/>
    </row>
    <row r="718">
      <c r="A718" s="96"/>
    </row>
    <row r="719">
      <c r="A719" s="96"/>
    </row>
    <row r="720">
      <c r="A720" s="96"/>
    </row>
    <row r="721">
      <c r="A721" s="96"/>
    </row>
    <row r="722">
      <c r="A722" s="96"/>
    </row>
    <row r="723">
      <c r="A723" s="96"/>
    </row>
    <row r="724">
      <c r="A724" s="96"/>
    </row>
    <row r="725">
      <c r="A725" s="96"/>
    </row>
    <row r="726">
      <c r="A726" s="96"/>
    </row>
    <row r="727">
      <c r="A727" s="96"/>
    </row>
    <row r="728">
      <c r="A728" s="96"/>
    </row>
    <row r="729">
      <c r="A729" s="96"/>
    </row>
    <row r="730">
      <c r="A730" s="96"/>
    </row>
    <row r="731">
      <c r="A731" s="96"/>
    </row>
    <row r="732">
      <c r="A732" s="96"/>
    </row>
    <row r="733">
      <c r="A733" s="96"/>
    </row>
    <row r="734">
      <c r="A734" s="96"/>
    </row>
    <row r="735">
      <c r="A735" s="96"/>
    </row>
    <row r="736">
      <c r="A736" s="96"/>
    </row>
    <row r="737">
      <c r="A737" s="96"/>
    </row>
    <row r="738">
      <c r="A738" s="96"/>
    </row>
    <row r="739">
      <c r="A739" s="96"/>
    </row>
    <row r="740">
      <c r="A740" s="96"/>
    </row>
    <row r="741">
      <c r="A741" s="96"/>
    </row>
    <row r="742">
      <c r="A742" s="96"/>
    </row>
    <row r="743">
      <c r="A743" s="96"/>
    </row>
    <row r="744">
      <c r="A744" s="96"/>
    </row>
    <row r="745">
      <c r="A745" s="96"/>
    </row>
    <row r="746">
      <c r="A746" s="96"/>
    </row>
    <row r="747">
      <c r="A747" s="96"/>
    </row>
    <row r="748">
      <c r="A748" s="96"/>
    </row>
    <row r="749">
      <c r="A749" s="96"/>
    </row>
    <row r="750">
      <c r="A750" s="96"/>
    </row>
    <row r="751">
      <c r="A751" s="96"/>
    </row>
    <row r="752">
      <c r="A752" s="96"/>
    </row>
    <row r="753">
      <c r="A753" s="96"/>
    </row>
    <row r="754">
      <c r="A754" s="96"/>
    </row>
    <row r="755">
      <c r="A755" s="96"/>
    </row>
    <row r="756">
      <c r="A756" s="96"/>
    </row>
    <row r="757">
      <c r="A757" s="96"/>
    </row>
    <row r="758">
      <c r="A758" s="96"/>
    </row>
    <row r="759">
      <c r="A759" s="96"/>
    </row>
    <row r="760">
      <c r="A760" s="96"/>
    </row>
    <row r="761">
      <c r="A761" s="96"/>
    </row>
    <row r="762">
      <c r="A762" s="96"/>
    </row>
    <row r="763">
      <c r="A763" s="96"/>
    </row>
    <row r="764">
      <c r="A764" s="96"/>
    </row>
    <row r="765">
      <c r="A765" s="96"/>
    </row>
    <row r="766">
      <c r="A766" s="96"/>
    </row>
    <row r="767">
      <c r="A767" s="96"/>
    </row>
    <row r="768">
      <c r="A768" s="96"/>
    </row>
    <row r="769">
      <c r="A769" s="96"/>
    </row>
    <row r="770">
      <c r="A770" s="96"/>
    </row>
    <row r="771">
      <c r="A771" s="96"/>
    </row>
    <row r="772">
      <c r="A772" s="96"/>
    </row>
    <row r="773">
      <c r="A773" s="96"/>
    </row>
    <row r="774">
      <c r="A774" s="96"/>
    </row>
    <row r="775">
      <c r="A775" s="96"/>
    </row>
    <row r="776">
      <c r="A776" s="96"/>
    </row>
    <row r="777">
      <c r="A777" s="96"/>
    </row>
    <row r="778">
      <c r="A778" s="96"/>
    </row>
    <row r="779">
      <c r="A779" s="96"/>
    </row>
    <row r="780">
      <c r="A780" s="96"/>
    </row>
    <row r="781">
      <c r="A781" s="96"/>
    </row>
    <row r="782">
      <c r="A782" s="96"/>
    </row>
    <row r="783">
      <c r="A783" s="96"/>
    </row>
    <row r="784">
      <c r="A784" s="96"/>
    </row>
    <row r="785">
      <c r="A785" s="96"/>
    </row>
    <row r="786">
      <c r="A786" s="96"/>
    </row>
    <row r="787">
      <c r="A787" s="96"/>
    </row>
    <row r="788">
      <c r="A788" s="96"/>
    </row>
    <row r="789">
      <c r="A789" s="96"/>
    </row>
    <row r="790">
      <c r="A790" s="96"/>
    </row>
    <row r="791">
      <c r="A791" s="96"/>
    </row>
    <row r="792">
      <c r="A792" s="96"/>
    </row>
    <row r="793">
      <c r="A793" s="96"/>
    </row>
    <row r="794">
      <c r="A794" s="96"/>
    </row>
    <row r="795">
      <c r="A795" s="96"/>
    </row>
    <row r="796">
      <c r="A796" s="96"/>
    </row>
    <row r="797">
      <c r="A797" s="96"/>
    </row>
    <row r="798">
      <c r="A798" s="96"/>
    </row>
    <row r="799">
      <c r="A799" s="96"/>
    </row>
    <row r="800">
      <c r="A800" s="96"/>
    </row>
    <row r="801">
      <c r="A801" s="96"/>
    </row>
    <row r="802">
      <c r="A802" s="96"/>
    </row>
    <row r="803">
      <c r="A803" s="96"/>
    </row>
    <row r="804">
      <c r="A804" s="96"/>
    </row>
    <row r="805">
      <c r="A805" s="96"/>
    </row>
    <row r="806">
      <c r="A806" s="96"/>
    </row>
    <row r="807">
      <c r="A807" s="96"/>
    </row>
    <row r="808">
      <c r="A808" s="96"/>
    </row>
    <row r="809">
      <c r="A809" s="96"/>
    </row>
    <row r="810">
      <c r="A810" s="96"/>
    </row>
    <row r="811">
      <c r="A811" s="96"/>
    </row>
    <row r="812">
      <c r="A812" s="96"/>
    </row>
    <row r="813">
      <c r="A813" s="96"/>
    </row>
    <row r="814">
      <c r="A814" s="96"/>
    </row>
    <row r="815">
      <c r="A815" s="96"/>
    </row>
    <row r="816">
      <c r="A816" s="96"/>
    </row>
    <row r="817">
      <c r="A817" s="96"/>
    </row>
    <row r="818">
      <c r="A818" s="96"/>
    </row>
    <row r="819">
      <c r="A819" s="96"/>
    </row>
    <row r="820">
      <c r="A820" s="96"/>
    </row>
    <row r="821">
      <c r="A821" s="96"/>
    </row>
    <row r="822">
      <c r="A822" s="96"/>
    </row>
    <row r="823">
      <c r="A823" s="96"/>
    </row>
    <row r="824">
      <c r="A824" s="96"/>
    </row>
    <row r="825">
      <c r="A825" s="96"/>
    </row>
    <row r="826">
      <c r="A826" s="96"/>
    </row>
    <row r="827">
      <c r="A827" s="96"/>
    </row>
    <row r="828">
      <c r="A828" s="96"/>
    </row>
    <row r="829">
      <c r="A829" s="96"/>
    </row>
    <row r="830">
      <c r="A830" s="96"/>
    </row>
    <row r="831">
      <c r="A831" s="96"/>
    </row>
    <row r="832">
      <c r="A832" s="96"/>
    </row>
    <row r="833">
      <c r="A833" s="96"/>
    </row>
    <row r="834">
      <c r="A834" s="96"/>
    </row>
    <row r="835">
      <c r="A835" s="96"/>
    </row>
    <row r="836">
      <c r="A836" s="96"/>
    </row>
    <row r="837">
      <c r="A837" s="96"/>
    </row>
    <row r="838">
      <c r="A838" s="96"/>
    </row>
    <row r="839">
      <c r="A839" s="96"/>
    </row>
    <row r="840">
      <c r="A840" s="96"/>
    </row>
    <row r="841">
      <c r="A841" s="96"/>
    </row>
    <row r="842">
      <c r="A842" s="96"/>
    </row>
    <row r="843">
      <c r="A843" s="96"/>
    </row>
    <row r="844">
      <c r="A844" s="96"/>
    </row>
    <row r="845">
      <c r="A845" s="96"/>
    </row>
    <row r="846">
      <c r="A846" s="96"/>
    </row>
    <row r="847">
      <c r="A847" s="96"/>
    </row>
    <row r="848">
      <c r="A848" s="96"/>
    </row>
    <row r="849">
      <c r="A849" s="96"/>
    </row>
    <row r="850">
      <c r="A850" s="96"/>
    </row>
    <row r="851">
      <c r="A851" s="96"/>
    </row>
    <row r="852">
      <c r="A852" s="96"/>
    </row>
    <row r="853">
      <c r="A853" s="96"/>
    </row>
    <row r="854">
      <c r="A854" s="96"/>
    </row>
    <row r="855">
      <c r="A855" s="96"/>
    </row>
    <row r="856">
      <c r="A856" s="96"/>
    </row>
    <row r="857">
      <c r="A857" s="96"/>
    </row>
    <row r="858">
      <c r="A858" s="96"/>
    </row>
    <row r="859">
      <c r="A859" s="96"/>
    </row>
    <row r="860">
      <c r="A860" s="96"/>
    </row>
    <row r="861">
      <c r="A861" s="96"/>
    </row>
    <row r="862">
      <c r="A862" s="96"/>
    </row>
    <row r="863">
      <c r="A863" s="96"/>
    </row>
    <row r="864">
      <c r="A864" s="96"/>
    </row>
    <row r="865">
      <c r="A865" s="96"/>
    </row>
    <row r="866">
      <c r="A866" s="96"/>
    </row>
    <row r="867">
      <c r="A867" s="96"/>
    </row>
    <row r="868">
      <c r="A868" s="96"/>
    </row>
    <row r="869">
      <c r="A869" s="96"/>
    </row>
    <row r="870">
      <c r="A870" s="96"/>
    </row>
    <row r="871">
      <c r="A871" s="96"/>
    </row>
    <row r="872">
      <c r="A872" s="96"/>
    </row>
    <row r="873">
      <c r="A873" s="96"/>
    </row>
    <row r="874">
      <c r="A874" s="96"/>
    </row>
    <row r="875">
      <c r="A875" s="96"/>
    </row>
    <row r="876">
      <c r="A876" s="96"/>
    </row>
    <row r="877">
      <c r="A877" s="96"/>
    </row>
    <row r="878">
      <c r="A878" s="96"/>
    </row>
    <row r="879">
      <c r="A879" s="96"/>
    </row>
    <row r="880">
      <c r="A880" s="96"/>
    </row>
    <row r="881">
      <c r="A881" s="96"/>
    </row>
    <row r="882">
      <c r="A882" s="96"/>
    </row>
    <row r="883">
      <c r="A883" s="96"/>
    </row>
    <row r="884">
      <c r="A884" s="96"/>
    </row>
    <row r="885">
      <c r="A885" s="96"/>
    </row>
    <row r="886">
      <c r="A886" s="96"/>
    </row>
    <row r="887">
      <c r="A887" s="96"/>
    </row>
    <row r="888">
      <c r="A888" s="96"/>
    </row>
    <row r="889">
      <c r="A889" s="96"/>
    </row>
    <row r="890">
      <c r="A890" s="96"/>
    </row>
    <row r="891">
      <c r="A891" s="96"/>
    </row>
    <row r="892">
      <c r="A892" s="96"/>
    </row>
    <row r="893">
      <c r="A893" s="96"/>
    </row>
    <row r="894">
      <c r="A894" s="96"/>
    </row>
    <row r="895">
      <c r="A895" s="96"/>
    </row>
    <row r="896">
      <c r="A896" s="96"/>
    </row>
    <row r="897">
      <c r="A897" s="96"/>
    </row>
    <row r="898">
      <c r="A898" s="96"/>
    </row>
    <row r="899">
      <c r="A899" s="96"/>
    </row>
    <row r="900">
      <c r="A900" s="96"/>
    </row>
    <row r="901">
      <c r="A901" s="96"/>
    </row>
    <row r="902">
      <c r="A902" s="96"/>
    </row>
    <row r="903">
      <c r="A903" s="96"/>
    </row>
    <row r="904">
      <c r="A904" s="96"/>
    </row>
    <row r="905">
      <c r="A905" s="96"/>
    </row>
    <row r="906">
      <c r="A906" s="96"/>
    </row>
    <row r="907">
      <c r="A907" s="96"/>
    </row>
    <row r="908">
      <c r="A908" s="96"/>
    </row>
    <row r="909">
      <c r="A909" s="96"/>
    </row>
    <row r="910">
      <c r="A910" s="96"/>
    </row>
    <row r="911">
      <c r="A911" s="96"/>
    </row>
    <row r="912">
      <c r="A912" s="96"/>
    </row>
    <row r="913">
      <c r="A913" s="96"/>
    </row>
    <row r="914">
      <c r="A914" s="96"/>
    </row>
    <row r="915">
      <c r="A915" s="96"/>
    </row>
    <row r="916">
      <c r="A916" s="96"/>
    </row>
    <row r="917">
      <c r="A917" s="96"/>
    </row>
    <row r="918">
      <c r="A918" s="96"/>
    </row>
    <row r="919">
      <c r="A919" s="96"/>
    </row>
    <row r="920">
      <c r="A920" s="96"/>
    </row>
    <row r="921">
      <c r="A921" s="96"/>
    </row>
    <row r="922">
      <c r="A922" s="96"/>
    </row>
    <row r="923">
      <c r="A923" s="96"/>
    </row>
    <row r="924">
      <c r="A924" s="96"/>
    </row>
    <row r="925">
      <c r="A925" s="96"/>
    </row>
    <row r="926">
      <c r="A926" s="96"/>
    </row>
    <row r="927">
      <c r="A927" s="96"/>
    </row>
    <row r="928">
      <c r="A928" s="96"/>
    </row>
    <row r="929">
      <c r="A929" s="96"/>
    </row>
    <row r="930">
      <c r="A930" s="96"/>
    </row>
    <row r="931">
      <c r="A931" s="96"/>
    </row>
    <row r="932">
      <c r="A932" s="96"/>
    </row>
    <row r="933">
      <c r="A933" s="96"/>
    </row>
    <row r="934">
      <c r="A934" s="96"/>
    </row>
    <row r="935">
      <c r="A935" s="96"/>
    </row>
    <row r="936">
      <c r="A936" s="96"/>
    </row>
    <row r="937">
      <c r="A937" s="96"/>
    </row>
    <row r="938">
      <c r="A938" s="96"/>
    </row>
    <row r="939">
      <c r="A939" s="96"/>
    </row>
    <row r="940">
      <c r="A940" s="96"/>
    </row>
    <row r="941">
      <c r="A941" s="96"/>
    </row>
    <row r="942">
      <c r="A942" s="96"/>
    </row>
    <row r="943">
      <c r="A943" s="96"/>
    </row>
    <row r="944">
      <c r="A944" s="96"/>
    </row>
    <row r="945">
      <c r="A945" s="96"/>
    </row>
    <row r="946">
      <c r="A946" s="96"/>
    </row>
    <row r="947">
      <c r="A947" s="96"/>
    </row>
    <row r="948">
      <c r="A948" s="96"/>
    </row>
    <row r="949">
      <c r="A949" s="96"/>
    </row>
    <row r="950">
      <c r="A950" s="96"/>
    </row>
    <row r="951">
      <c r="A951" s="96"/>
    </row>
    <row r="952">
      <c r="A952" s="96"/>
    </row>
    <row r="953">
      <c r="A953" s="96"/>
    </row>
    <row r="954">
      <c r="A954" s="96"/>
    </row>
    <row r="955">
      <c r="A955" s="96"/>
    </row>
    <row r="956">
      <c r="A956" s="96"/>
    </row>
    <row r="957">
      <c r="A957" s="96"/>
    </row>
    <row r="958">
      <c r="A958" s="96"/>
    </row>
    <row r="959">
      <c r="A959" s="96"/>
    </row>
  </sheetData>
  <autoFilter ref="$A$1:$AH$28"/>
  <dataValidations>
    <dataValidation type="list" allowBlank="1" showErrorMessage="1" sqref="M2:M28">
      <formula1>"Karen,Holding,Rodri,Sergio,Eli,Akamai,Isra"</formula1>
    </dataValidation>
    <dataValidation type="list" allowBlank="1" showErrorMessage="1" sqref="N2:N28">
      <formula1>"Análisis,En proceso,En pruebas,En producción"</formula1>
    </dataValidation>
    <dataValidation type="list" allowBlank="1" showErrorMessage="1" sqref="K2:K28">
      <formula1>"Terceros,Mismo Banco,SPEI,Pago Cie"</formula1>
    </dataValidation>
    <dataValidation type="list" allowBlank="1" showErrorMessage="1" sqref="L2:L28">
      <formula1>"Call Center,Tiendas,Opinator"</formula1>
    </dataValidation>
  </dataValidations>
  <hyperlinks>
    <hyperlink r:id="rId1" ref="E4"/>
    <hyperlink r:id="rId2" ref="E5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</hyperlinks>
  <drawing r:id="rId14"/>
</worksheet>
</file>